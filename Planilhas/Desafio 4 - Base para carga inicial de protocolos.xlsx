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drawings/drawing11.xml" ContentType="application/vnd.openxmlformats-officedocument.drawing+xml"/>
  <Override PartName="/xl/tables/table10.xml" ContentType="application/vnd.openxmlformats-officedocument.spreadsheetml.table+xml"/>
  <Override PartName="/xl/drawings/drawing12.xml" ContentType="application/vnd.openxmlformats-officedocument.drawing+xml"/>
  <Override PartName="/xl/tables/table11.xml" ContentType="application/vnd.openxmlformats-officedocument.spreadsheetml.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tables/table14.xml" ContentType="application/vnd.openxmlformats-officedocument.spreadsheetml.table+xml"/>
  <Override PartName="/xl/drawings/drawing16.xml" ContentType="application/vnd.openxmlformats-officedocument.drawing+xml"/>
  <Override PartName="/xl/tables/table15.xml" ContentType="application/vnd.openxmlformats-officedocument.spreadsheetml.table+xml"/>
  <Override PartName="/xl/drawings/drawing17.xml" ContentType="application/vnd.openxmlformats-officedocument.drawing+xml"/>
  <Override PartName="/xl/tables/table16.xml" ContentType="application/vnd.openxmlformats-officedocument.spreadsheetml.table+xml"/>
  <Override PartName="/xl/drawings/drawing18.xml" ContentType="application/vnd.openxmlformats-officedocument.drawing+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10"/>
  <workbookPr codeName="ThisWorkbook"/>
  <mc:AlternateContent xmlns:mc="http://schemas.openxmlformats.org/markup-compatibility/2006">
    <mc:Choice Requires="x15">
      <x15ac:absPath xmlns:x15ac="http://schemas.microsoft.com/office/spreadsheetml/2010/11/ac" url="\\192.168.7.254\engenharia\"/>
    </mc:Choice>
  </mc:AlternateContent>
  <xr:revisionPtr revIDLastSave="2" documentId="13_ncr:1_{CA890E8C-A151-4BDF-9AE1-D6AB6E9A9D4A}" xr6:coauthVersionLast="47" xr6:coauthVersionMax="47" xr10:uidLastSave="{57E12B96-6B62-477C-9F6C-3767756DEDB5}"/>
  <bookViews>
    <workbookView xWindow="-120" yWindow="-120" windowWidth="29040" windowHeight="15720" tabRatio="694" activeTab="3" xr2:uid="{00000000-000D-0000-FFFF-FFFF00000000}"/>
  </bookViews>
  <sheets>
    <sheet name="Configuração" sheetId="2" r:id="rId1"/>
    <sheet name="Prot. TLD - Horizont" sheetId="4" r:id="rId2"/>
    <sheet name="Prot. TLD - Ducale" sheetId="1" r:id="rId3"/>
    <sheet name="Prot. TLD - Villa Bella I" sheetId="8" r:id="rId4"/>
    <sheet name="Prot. TLD - Villa Bella II" sheetId="12" r:id="rId5"/>
    <sheet name="Prot. TLD - Carmel" sheetId="10" r:id="rId6"/>
    <sheet name="Prot. CVEL - Altona" sheetId="20" r:id="rId7"/>
    <sheet name="Prot. TLD - Biopark" sheetId="21" r:id="rId8"/>
    <sheet name="Prot. CVEL - Bresolin" sheetId="19" r:id="rId9"/>
    <sheet name="Prot. CVEL - Bella Citta" sheetId="17" r:id="rId10"/>
    <sheet name="Prot. TLD - Solar de Verona" sheetId="13" r:id="rId11"/>
    <sheet name="Prot. TLD - Sede Hélio" sheetId="14" r:id="rId12"/>
    <sheet name="Prot. TLD - Sperafico" sheetId="15" r:id="rId13"/>
    <sheet name="Prot. TLD - 13 de Abril" sheetId="18" r:id="rId14"/>
    <sheet name="Prot. TLD - Reserva do Lago" sheetId="16" r:id="rId15"/>
    <sheet name="Prot. TLD - Lot. Vera Cruz" sheetId="5" r:id="rId16"/>
    <sheet name="Prot. TLD - Lot. Ludovico" sheetId="6" r:id="rId17"/>
    <sheet name="Prot. TLD - Lot. Gualtieri" sheetId="11" r:id="rId18"/>
  </sheets>
  <definedNames>
    <definedName name="a" localSheetId="7">Tabela_de_categorias_e_funcionários[[#Headers],[Aprovações]]</definedName>
    <definedName name="a">Tabela_de_categorias_e_funcionários[[#Headers],[Aprovações]]</definedName>
    <definedName name="Arcangelo" localSheetId="6">Tabela_de_categorias_e_funcionários[[#Headers],[Aprovações]]</definedName>
    <definedName name="Arcangelo" localSheetId="9">Tabela_de_categorias_e_funcionários[[#Headers],[Aprovações]]</definedName>
    <definedName name="Arcangelo" localSheetId="8">Tabela_de_categorias_e_funcionários[[#Headers],[Aprovações]]</definedName>
    <definedName name="Arcangelo" localSheetId="13">Tabela_de_categorias_e_funcionários[[#Headers],[Aprovações]]</definedName>
    <definedName name="Arcangelo" localSheetId="7">Tabela_de_categorias_e_funcionários[[#Headers],[Aprovações]]</definedName>
    <definedName name="Arcangelo" localSheetId="14">Tabela_de_categorias_e_funcionários[[#Headers],[Aprovações]]</definedName>
    <definedName name="Arcangelo" localSheetId="11">Tabela_de_categorias_e_funcionários[[#Headers],[Aprovações]]</definedName>
    <definedName name="Arcangelo" localSheetId="12">Tabela_de_categorias_e_funcionários[[#Headers],[Aprovações]]</definedName>
    <definedName name="Arcangelo">Tabela_de_categorias_e_funcionários[[#Headers],[Aprovações]]</definedName>
    <definedName name="Biopark">Tabela_de_categorias_e_funcionários[[#Headers],[Aprovações]]</definedName>
    <definedName name="Categoria_Lista">Configuração!$B$5:$B$11</definedName>
    <definedName name="ColumnTitle1" localSheetId="6">'Prot. CVEL - Altona'!$B$4</definedName>
    <definedName name="ColumnTitle1" localSheetId="9">'Prot. CVEL - Bella Citta'!$B$4</definedName>
    <definedName name="ColumnTitle1" localSheetId="8">'Prot. CVEL - Bresolin'!$B$4</definedName>
    <definedName name="ColumnTitle1" localSheetId="13">'Prot. TLD - 13 de Abril'!$B$4</definedName>
    <definedName name="ColumnTitle1" localSheetId="7">'Prot. TLD - Biopark'!$B$4</definedName>
    <definedName name="ColumnTitle1" localSheetId="5">'Prot. TLD - Carmel'!$B$4</definedName>
    <definedName name="ColumnTitle1" localSheetId="1">'Prot. TLD - Horizont'!$B$4</definedName>
    <definedName name="ColumnTitle1" localSheetId="16">'Prot. TLD - Lot. Ludovico'!$B$4</definedName>
    <definedName name="ColumnTitle1" localSheetId="15">'Prot. TLD - Lot. Vera Cruz'!$B$4</definedName>
    <definedName name="ColumnTitle1" localSheetId="14">'Prot. TLD - Reserva do Lago'!$B$4</definedName>
    <definedName name="ColumnTitle1" localSheetId="11">'Prot. TLD - Sede Hélio'!$B$4</definedName>
    <definedName name="ColumnTitle1" localSheetId="10">'Prot. TLD - Solar de Verona'!$B$4</definedName>
    <definedName name="ColumnTitle1" localSheetId="12">'Prot. TLD - Sperafico'!$B$4</definedName>
    <definedName name="ColumnTitle1" localSheetId="3">'Prot. TLD - Villa Bella I'!$B$4</definedName>
    <definedName name="ColumnTitle1">'Prot. TLD - Ducale'!$B$4</definedName>
    <definedName name="ColumnTitle2" localSheetId="6">Tabela_de_categorias_e_funcionários[[#Headers],[Aprovações]]</definedName>
    <definedName name="ColumnTitle2" localSheetId="9">Tabela_de_categorias_e_funcionários[[#Headers],[Aprovações]]</definedName>
    <definedName name="ColumnTitle2" localSheetId="8">Tabela_de_categorias_e_funcionários[[#Headers],[Aprovações]]</definedName>
    <definedName name="ColumnTitle2" localSheetId="13">Tabela_de_categorias_e_funcionários[[#Headers],[Aprovações]]</definedName>
    <definedName name="ColumnTitle2" localSheetId="7">Tabela_de_categorias_e_funcionários[[#Headers],[Aprovações]]</definedName>
    <definedName name="ColumnTitle2" localSheetId="5">Tabela_de_categorias_e_funcionários[[#Headers],[Aprovações]]</definedName>
    <definedName name="ColumnTitle2" localSheetId="1">Tabela_de_categorias_e_funcionários[[#Headers],[Aprovações]]</definedName>
    <definedName name="ColumnTitle2" localSheetId="16">Tabela_de_categorias_e_funcionários[[#Headers],[Aprovações]]</definedName>
    <definedName name="ColumnTitle2" localSheetId="15">Tabela_de_categorias_e_funcionários[[#Headers],[Aprovações]]</definedName>
    <definedName name="ColumnTitle2" localSheetId="14">Tabela_de_categorias_e_funcionários[[#Headers],[Aprovações]]</definedName>
    <definedName name="ColumnTitle2" localSheetId="11">Tabela_de_categorias_e_funcionários[[#Headers],[Aprovações]]</definedName>
    <definedName name="ColumnTitle2" localSheetId="10">Tabela_de_categorias_e_funcionários[[#Headers],[Aprovações]]</definedName>
    <definedName name="ColumnTitle2" localSheetId="12">Tabela_de_categorias_e_funcionários[[#Headers],[Aprovações]]</definedName>
    <definedName name="ColumnTitle2" localSheetId="3">Tabela_de_categorias_e_funcionários[[#Headers],[Aprovações]]</definedName>
    <definedName name="ColumnTitle2">Tabela_de_categorias_e_funcionários[[#Headers],[Aprovações]]</definedName>
    <definedName name="Funcionário_Lista">Configuração!$C$5:$C$11</definedName>
    <definedName name="ll" localSheetId="7">Tabela_de_categorias_e_funcionários[[#Headers],[Aprovações]]</definedName>
    <definedName name="ll">Tabela_de_categorias_e_funcionários[[#Headers],[Aprovações]]</definedName>
    <definedName name="SedeHélio" localSheetId="6">Tabela_de_categorias_e_funcionários[[#Headers],[Aprovações]]</definedName>
    <definedName name="SedeHélio" localSheetId="9">Tabela_de_categorias_e_funcionários[[#Headers],[Aprovações]]</definedName>
    <definedName name="SedeHélio" localSheetId="8">Tabela_de_categorias_e_funcionários[[#Headers],[Aprovações]]</definedName>
    <definedName name="SedeHélio" localSheetId="13">Tabela_de_categorias_e_funcionários[[#Headers],[Aprovações]]</definedName>
    <definedName name="SedeHélio" localSheetId="7">Tabela_de_categorias_e_funcionários[[#Headers],[Aprovações]]</definedName>
    <definedName name="SedeHélio" localSheetId="14">Tabela_de_categorias_e_funcionários[[#Headers],[Aprovações]]</definedName>
    <definedName name="SedeHélio" localSheetId="12">Tabela_de_categorias_e_funcionários[[#Headers],[Aprovações]]</definedName>
    <definedName name="SedeHélio">Tabela_de_categorias_e_funcionários[[#Headers],[Aprovações]]</definedName>
    <definedName name="Sinalizador_Porcentagem" localSheetId="6">'Prot. CVEL - Altona'!$D$2</definedName>
    <definedName name="Sinalizador_Porcentagem" localSheetId="9">'Prot. CVEL - Bella Citta'!$D$2</definedName>
    <definedName name="Sinalizador_Porcentagem" localSheetId="8">'Prot. CVEL - Bresolin'!$D$2</definedName>
    <definedName name="Sinalizador_Porcentagem" localSheetId="13">'Prot. TLD - 13 de Abril'!$D$2</definedName>
    <definedName name="Sinalizador_Porcentagem" localSheetId="7">'Prot. TLD - Biopark'!$D$2</definedName>
    <definedName name="Sinalizador_Porcentagem" localSheetId="5">'Prot. TLD - Carmel'!$D$2</definedName>
    <definedName name="Sinalizador_Porcentagem" localSheetId="1">'Prot. TLD - Horizont'!$E$2</definedName>
    <definedName name="Sinalizador_Porcentagem" localSheetId="16">'Prot. TLD - Lot. Ludovico'!$D$2</definedName>
    <definedName name="Sinalizador_Porcentagem" localSheetId="15">'Prot. TLD - Lot. Vera Cruz'!$D$2</definedName>
    <definedName name="Sinalizador_Porcentagem" localSheetId="14">'Prot. TLD - Reserva do Lago'!$D$2</definedName>
    <definedName name="Sinalizador_Porcentagem" localSheetId="11">'Prot. TLD - Sede Hélio'!$D$2</definedName>
    <definedName name="Sinalizador_Porcentagem" localSheetId="10">'Prot. TLD - Solar de Verona'!$D$2</definedName>
    <definedName name="Sinalizador_Porcentagem" localSheetId="12">'Prot. TLD - Sperafico'!$D$2</definedName>
    <definedName name="Sinalizador_Porcentagem" localSheetId="3">'Prot. TLD - Villa Bella I'!$D$2</definedName>
    <definedName name="Sinalizador_Porcentagem">'Prot. TLD - Ducale'!$E$2</definedName>
    <definedName name="_xlnm.Print_Titles" localSheetId="6">'Prot. CVEL - Altona'!$4:$4</definedName>
    <definedName name="_xlnm.Print_Titles" localSheetId="9">'Prot. CVEL - Bella Citta'!$4:$4</definedName>
    <definedName name="_xlnm.Print_Titles" localSheetId="8">'Prot. CVEL - Bresolin'!$4:$4</definedName>
    <definedName name="_xlnm.Print_Titles" localSheetId="13">'Prot. TLD - 13 de Abril'!$4:$4</definedName>
    <definedName name="_xlnm.Print_Titles" localSheetId="7">'Prot. TLD - Biopark'!$4:$4</definedName>
    <definedName name="_xlnm.Print_Titles" localSheetId="5">'Prot. TLD - Carmel'!$4:$4</definedName>
    <definedName name="_xlnm.Print_Titles" localSheetId="2">'Prot. TLD - Ducale'!$4:$4</definedName>
    <definedName name="_xlnm.Print_Titles" localSheetId="1">'Prot. TLD - Horizont'!$4:$4</definedName>
    <definedName name="_xlnm.Print_Titles" localSheetId="16">'Prot. TLD - Lot. Ludovico'!$4:$4</definedName>
    <definedName name="_xlnm.Print_Titles" localSheetId="15">'Prot. TLD - Lot. Vera Cruz'!$4:$4</definedName>
    <definedName name="_xlnm.Print_Titles" localSheetId="14">'Prot. TLD - Reserva do Lago'!$4:$4</definedName>
    <definedName name="_xlnm.Print_Titles" localSheetId="11">'Prot. TLD - Sede Hélio'!$4:$4</definedName>
    <definedName name="_xlnm.Print_Titles" localSheetId="10">'Prot. TLD - Solar de Verona'!$4:$4</definedName>
    <definedName name="_xlnm.Print_Titles" localSheetId="12">'Prot. TLD - Sperafico'!$4:$4</definedName>
    <definedName name="_xlnm.Print_Titles" localSheetId="3">'Prot. TLD - Villa Bella I'!$4:$4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1" l="1"/>
  <c r="L15" i="21"/>
  <c r="K15" i="21" s="1"/>
  <c r="H15" i="21"/>
  <c r="L14" i="21"/>
  <c r="K14" i="21" s="1"/>
  <c r="H14" i="21"/>
  <c r="L13" i="21"/>
  <c r="K13" i="21" s="1"/>
  <c r="H13" i="21"/>
  <c r="L12" i="21"/>
  <c r="K12" i="21" s="1"/>
  <c r="H12" i="21"/>
  <c r="L11" i="21"/>
  <c r="K11" i="21" s="1"/>
  <c r="H11" i="21"/>
  <c r="L10" i="21"/>
  <c r="K10" i="21" s="1"/>
  <c r="H10" i="21"/>
  <c r="L9" i="21"/>
  <c r="K9" i="21"/>
  <c r="H9" i="21"/>
  <c r="L8" i="21"/>
  <c r="K8" i="21" s="1"/>
  <c r="H8" i="21"/>
  <c r="L24" i="4"/>
  <c r="H24" i="4"/>
  <c r="H8" i="16"/>
  <c r="K8" i="16" s="1"/>
  <c r="H9" i="16"/>
  <c r="H10" i="16"/>
  <c r="K21" i="10"/>
  <c r="H21" i="10"/>
  <c r="L7" i="16"/>
  <c r="H7" i="16"/>
  <c r="H7" i="13"/>
  <c r="H8" i="13"/>
  <c r="L6" i="16"/>
  <c r="H6" i="16"/>
  <c r="H27" i="8"/>
  <c r="H28" i="8"/>
  <c r="L28" i="8"/>
  <c r="K28" i="8"/>
  <c r="K20" i="10"/>
  <c r="H20" i="10"/>
  <c r="L27" i="8"/>
  <c r="K27" i="8"/>
  <c r="L6" i="14"/>
  <c r="L5" i="19"/>
  <c r="L15" i="20"/>
  <c r="K15" i="20" s="1"/>
  <c r="H15" i="20"/>
  <c r="L14" i="20"/>
  <c r="H14" i="20"/>
  <c r="K14" i="20" s="1"/>
  <c r="L13" i="20"/>
  <c r="K13" i="20" s="1"/>
  <c r="H13" i="20"/>
  <c r="L12" i="20"/>
  <c r="H12" i="20"/>
  <c r="K12" i="20" s="1"/>
  <c r="L11" i="20"/>
  <c r="K11" i="20" s="1"/>
  <c r="H11" i="20"/>
  <c r="L10" i="20"/>
  <c r="H10" i="20"/>
  <c r="K10" i="20" s="1"/>
  <c r="L9" i="20"/>
  <c r="K9" i="20" s="1"/>
  <c r="H9" i="20"/>
  <c r="L8" i="20"/>
  <c r="H8" i="20"/>
  <c r="K8" i="20" s="1"/>
  <c r="H5" i="20"/>
  <c r="H6" i="14"/>
  <c r="H5" i="19"/>
  <c r="L15" i="19"/>
  <c r="K15" i="19" s="1"/>
  <c r="H15" i="19"/>
  <c r="L14" i="19"/>
  <c r="K14" i="19" s="1"/>
  <c r="H14" i="19"/>
  <c r="L13" i="19"/>
  <c r="K13" i="19" s="1"/>
  <c r="H13" i="19"/>
  <c r="L12" i="19"/>
  <c r="K12" i="19" s="1"/>
  <c r="H12" i="19"/>
  <c r="L11" i="19"/>
  <c r="K11" i="19" s="1"/>
  <c r="H11" i="19"/>
  <c r="L10" i="19"/>
  <c r="K10" i="19" s="1"/>
  <c r="H10" i="19"/>
  <c r="L9" i="19"/>
  <c r="K9" i="19" s="1"/>
  <c r="H9" i="19"/>
  <c r="L8" i="19"/>
  <c r="K8" i="19" s="1"/>
  <c r="H8" i="19"/>
  <c r="H14" i="17"/>
  <c r="L14" i="17"/>
  <c r="K14" i="17" s="1"/>
  <c r="L15" i="18"/>
  <c r="K15" i="18" s="1"/>
  <c r="H15" i="18"/>
  <c r="L14" i="18"/>
  <c r="K14" i="18" s="1"/>
  <c r="H14" i="18"/>
  <c r="L13" i="18"/>
  <c r="K13" i="18" s="1"/>
  <c r="H13" i="18"/>
  <c r="L12" i="18"/>
  <c r="K12" i="18" s="1"/>
  <c r="H12" i="18"/>
  <c r="L11" i="18"/>
  <c r="K11" i="18" s="1"/>
  <c r="H11" i="18"/>
  <c r="L10" i="18"/>
  <c r="K10" i="18" s="1"/>
  <c r="H10" i="18"/>
  <c r="L9" i="18"/>
  <c r="K9" i="18" s="1"/>
  <c r="H9" i="18"/>
  <c r="L8" i="18"/>
  <c r="K8" i="18" s="1"/>
  <c r="H8" i="18"/>
  <c r="H5" i="18"/>
  <c r="K24" i="4"/>
  <c r="L13" i="17"/>
  <c r="H13" i="17"/>
  <c r="L12" i="17"/>
  <c r="H12" i="17"/>
  <c r="L11" i="17"/>
  <c r="H11" i="17"/>
  <c r="L10" i="17"/>
  <c r="H10" i="17"/>
  <c r="L9" i="17"/>
  <c r="H9" i="17"/>
  <c r="L8" i="17"/>
  <c r="H8" i="17"/>
  <c r="L7" i="17"/>
  <c r="H7" i="17"/>
  <c r="L6" i="17"/>
  <c r="H6" i="17"/>
  <c r="L5" i="17"/>
  <c r="H5" i="17"/>
  <c r="H19" i="10"/>
  <c r="L15" i="16"/>
  <c r="K15" i="16" s="1"/>
  <c r="H15" i="16"/>
  <c r="L14" i="16"/>
  <c r="H14" i="16"/>
  <c r="K14" i="16" s="1"/>
  <c r="L13" i="16"/>
  <c r="K13" i="16"/>
  <c r="H13" i="16"/>
  <c r="L12" i="16"/>
  <c r="H12" i="16"/>
  <c r="K12" i="16" s="1"/>
  <c r="L11" i="16"/>
  <c r="H11" i="16"/>
  <c r="L10" i="16"/>
  <c r="L9" i="16"/>
  <c r="L8" i="16"/>
  <c r="L5" i="16"/>
  <c r="H5" i="16"/>
  <c r="L6" i="15"/>
  <c r="K6" i="15" s="1"/>
  <c r="L15" i="15"/>
  <c r="H15" i="15"/>
  <c r="K15" i="15" s="1"/>
  <c r="L14" i="15"/>
  <c r="H14" i="15"/>
  <c r="K14" i="15" s="1"/>
  <c r="L13" i="15"/>
  <c r="H13" i="15"/>
  <c r="K13" i="15" s="1"/>
  <c r="L12" i="15"/>
  <c r="H12" i="15"/>
  <c r="K12" i="15" s="1"/>
  <c r="L11" i="15"/>
  <c r="H11" i="15"/>
  <c r="K11" i="15" s="1"/>
  <c r="L10" i="15"/>
  <c r="H10" i="15"/>
  <c r="K10" i="15" s="1"/>
  <c r="L9" i="15"/>
  <c r="H9" i="15"/>
  <c r="K9" i="15" s="1"/>
  <c r="L8" i="15"/>
  <c r="H8" i="15"/>
  <c r="K8" i="15" s="1"/>
  <c r="L5" i="15"/>
  <c r="H5" i="15"/>
  <c r="L6" i="13"/>
  <c r="H6" i="13"/>
  <c r="K11" i="12"/>
  <c r="G11" i="12"/>
  <c r="G26" i="8"/>
  <c r="K26" i="8"/>
  <c r="H26" i="8"/>
  <c r="K10" i="12"/>
  <c r="G23" i="4"/>
  <c r="L23" i="4"/>
  <c r="K23" i="4"/>
  <c r="H23" i="4"/>
  <c r="G22" i="4"/>
  <c r="L22" i="4"/>
  <c r="K22" i="4"/>
  <c r="H22" i="4"/>
  <c r="G9" i="1"/>
  <c r="L9" i="1"/>
  <c r="K9" i="1"/>
  <c r="H9" i="1"/>
  <c r="K18" i="10"/>
  <c r="H18" i="10"/>
  <c r="H17" i="10"/>
  <c r="L17" i="10"/>
  <c r="L15" i="14"/>
  <c r="K15" i="14" s="1"/>
  <c r="H15" i="14"/>
  <c r="L14" i="14"/>
  <c r="K14" i="14" s="1"/>
  <c r="H14" i="14"/>
  <c r="L13" i="14"/>
  <c r="K13" i="14" s="1"/>
  <c r="H13" i="14"/>
  <c r="L12" i="14"/>
  <c r="H12" i="14"/>
  <c r="K12" i="14" s="1"/>
  <c r="L11" i="14"/>
  <c r="K11" i="14" s="1"/>
  <c r="H11" i="14"/>
  <c r="L10" i="14"/>
  <c r="K10" i="14"/>
  <c r="H10" i="14"/>
  <c r="L9" i="14"/>
  <c r="K9" i="14"/>
  <c r="H9" i="14"/>
  <c r="L8" i="14"/>
  <c r="H8" i="14"/>
  <c r="K8" i="14" s="1"/>
  <c r="L5" i="14"/>
  <c r="H5" i="14"/>
  <c r="L15" i="13"/>
  <c r="H15" i="13"/>
  <c r="L14" i="13"/>
  <c r="K14" i="13" s="1"/>
  <c r="H14" i="13"/>
  <c r="L13" i="13"/>
  <c r="K13" i="13" s="1"/>
  <c r="H13" i="13"/>
  <c r="L12" i="13"/>
  <c r="K12" i="13" s="1"/>
  <c r="H12" i="13"/>
  <c r="L11" i="13"/>
  <c r="K11" i="13" s="1"/>
  <c r="H11" i="13"/>
  <c r="L10" i="13"/>
  <c r="K10" i="13" s="1"/>
  <c r="H10" i="13"/>
  <c r="L9" i="13"/>
  <c r="K9" i="13" s="1"/>
  <c r="H9" i="13"/>
  <c r="L5" i="13"/>
  <c r="H5" i="13"/>
  <c r="H10" i="12"/>
  <c r="L25" i="8"/>
  <c r="K25" i="8"/>
  <c r="H25" i="8"/>
  <c r="H21" i="4"/>
  <c r="L21" i="4"/>
  <c r="L9" i="12"/>
  <c r="H9" i="12"/>
  <c r="H16" i="10"/>
  <c r="L16" i="10"/>
  <c r="L24" i="8"/>
  <c r="K24" i="8"/>
  <c r="H24" i="8"/>
  <c r="G23" i="8"/>
  <c r="L23" i="8"/>
  <c r="K23" i="8"/>
  <c r="H23" i="8"/>
  <c r="L5" i="10"/>
  <c r="L6" i="10"/>
  <c r="L7" i="10"/>
  <c r="L8" i="10"/>
  <c r="L9" i="10"/>
  <c r="L10" i="10"/>
  <c r="L11" i="10"/>
  <c r="L12" i="10"/>
  <c r="L13" i="10"/>
  <c r="L14" i="10"/>
  <c r="L15" i="10"/>
  <c r="H8" i="12"/>
  <c r="H7" i="12"/>
  <c r="G15" i="10"/>
  <c r="H15" i="10" s="1"/>
  <c r="H20" i="8"/>
  <c r="L20" i="8"/>
  <c r="H6" i="12"/>
  <c r="G19" i="8"/>
  <c r="H19" i="8" s="1"/>
  <c r="H21" i="8"/>
  <c r="H22" i="8"/>
  <c r="H18" i="8"/>
  <c r="G8" i="1"/>
  <c r="H8" i="1"/>
  <c r="L8" i="1"/>
  <c r="G14" i="10"/>
  <c r="H14" i="10" s="1"/>
  <c r="H13" i="10"/>
  <c r="H11" i="10"/>
  <c r="H14" i="8"/>
  <c r="G15" i="8"/>
  <c r="H15" i="8" s="1"/>
  <c r="G13" i="8"/>
  <c r="H13" i="8" s="1"/>
  <c r="G12" i="10"/>
  <c r="G17" i="8"/>
  <c r="H17" i="8" s="1"/>
  <c r="G16" i="8"/>
  <c r="H16" i="8" s="1"/>
  <c r="G7" i="8"/>
  <c r="L8" i="8"/>
  <c r="H8" i="8"/>
  <c r="L6" i="12"/>
  <c r="L5" i="12"/>
  <c r="G8" i="5"/>
  <c r="H8" i="5" s="1"/>
  <c r="H9" i="5"/>
  <c r="H7" i="5"/>
  <c r="H6" i="5"/>
  <c r="H5" i="5"/>
  <c r="H8" i="11"/>
  <c r="H9" i="11"/>
  <c r="H10" i="11"/>
  <c r="H11" i="11"/>
  <c r="H12" i="11"/>
  <c r="H13" i="11"/>
  <c r="H14" i="11"/>
  <c r="H15" i="11"/>
  <c r="H16" i="11"/>
  <c r="H17" i="11"/>
  <c r="H18" i="11"/>
  <c r="H19" i="11"/>
  <c r="H20" i="11"/>
  <c r="H21" i="11"/>
  <c r="H22" i="11"/>
  <c r="H23" i="11"/>
  <c r="H24" i="11"/>
  <c r="H25" i="11"/>
  <c r="H26" i="11"/>
  <c r="H27" i="11"/>
  <c r="H28" i="11"/>
  <c r="H29" i="11"/>
  <c r="H30" i="11"/>
  <c r="H7" i="11"/>
  <c r="H6" i="11"/>
  <c r="H5" i="11"/>
  <c r="K21" i="11"/>
  <c r="K22" i="11"/>
  <c r="K23" i="11"/>
  <c r="K24" i="11"/>
  <c r="K25" i="11"/>
  <c r="K26" i="11"/>
  <c r="K27" i="11"/>
  <c r="K28" i="11"/>
  <c r="K29" i="11"/>
  <c r="K30" i="11"/>
  <c r="K5" i="11"/>
  <c r="K6" i="11"/>
  <c r="K7" i="11"/>
  <c r="K8" i="11"/>
  <c r="K9" i="11"/>
  <c r="K10" i="11"/>
  <c r="K11" i="11"/>
  <c r="K12" i="11"/>
  <c r="K13" i="11"/>
  <c r="K14" i="11"/>
  <c r="K15" i="11"/>
  <c r="K16" i="11"/>
  <c r="K17" i="11"/>
  <c r="K18" i="11"/>
  <c r="K19" i="11"/>
  <c r="K20" i="11"/>
  <c r="H20" i="4"/>
  <c r="L20" i="4"/>
  <c r="K11" i="16" l="1"/>
  <c r="K10" i="16"/>
  <c r="K9" i="16"/>
  <c r="K7" i="16"/>
  <c r="K6" i="16"/>
  <c r="K5" i="16"/>
  <c r="K5" i="18"/>
  <c r="K7" i="17"/>
  <c r="K13" i="17"/>
  <c r="K9" i="17"/>
  <c r="K8" i="17"/>
  <c r="K10" i="17"/>
  <c r="K5" i="17"/>
  <c r="K11" i="17"/>
  <c r="K12" i="17"/>
  <c r="K6" i="17"/>
  <c r="K17" i="10"/>
  <c r="K5" i="15"/>
  <c r="K15" i="13"/>
  <c r="K6" i="13"/>
  <c r="K5" i="14"/>
  <c r="K5" i="13"/>
  <c r="K21" i="4"/>
  <c r="K16" i="10"/>
  <c r="K20" i="8"/>
  <c r="K8" i="1"/>
  <c r="H5" i="12"/>
  <c r="K20" i="4"/>
  <c r="H11" i="8"/>
  <c r="H12" i="8"/>
  <c r="H6" i="10" l="1"/>
  <c r="H7" i="10"/>
  <c r="H9" i="10"/>
  <c r="K9" i="12" s="1"/>
  <c r="H8" i="10"/>
  <c r="H10" i="10"/>
  <c r="H5" i="10"/>
  <c r="H12" i="10"/>
  <c r="K11" i="10" l="1"/>
  <c r="K13" i="10"/>
  <c r="K5" i="10"/>
  <c r="K12" i="10"/>
  <c r="K14" i="10"/>
  <c r="K15" i="10"/>
  <c r="L5" i="8"/>
  <c r="L6" i="8"/>
  <c r="L7" i="8"/>
  <c r="L9" i="8"/>
  <c r="K8" i="12" s="1"/>
  <c r="L10" i="8"/>
  <c r="L11" i="8"/>
  <c r="L12" i="8"/>
  <c r="L13" i="8"/>
  <c r="L14" i="8"/>
  <c r="L15" i="8"/>
  <c r="L16" i="8"/>
  <c r="L17" i="8"/>
  <c r="L18" i="8"/>
  <c r="L19" i="8"/>
  <c r="L21" i="8"/>
  <c r="L22" i="8"/>
  <c r="H6" i="8"/>
  <c r="H10" i="8"/>
  <c r="H9" i="8"/>
  <c r="H7" i="8"/>
  <c r="K7" i="12" l="1"/>
  <c r="K6" i="12"/>
  <c r="K22" i="8"/>
  <c r="K21" i="8"/>
  <c r="K19" i="8"/>
  <c r="K18" i="8"/>
  <c r="K17" i="8"/>
  <c r="K16" i="8"/>
  <c r="K15" i="8"/>
  <c r="K14" i="8"/>
  <c r="K13" i="8"/>
  <c r="K12" i="8"/>
  <c r="K11" i="8"/>
  <c r="K10" i="8"/>
  <c r="K9" i="8"/>
  <c r="H5" i="8"/>
  <c r="K5" i="12" s="1"/>
  <c r="K5" i="8" l="1"/>
  <c r="L15" i="6" l="1"/>
  <c r="H15" i="6"/>
  <c r="L14" i="6"/>
  <c r="H14" i="6"/>
  <c r="L13" i="6"/>
  <c r="H13" i="6"/>
  <c r="L12" i="6"/>
  <c r="H12" i="6"/>
  <c r="K12" i="6" s="1"/>
  <c r="L11" i="6"/>
  <c r="H11" i="6"/>
  <c r="L10" i="6"/>
  <c r="H10" i="6"/>
  <c r="L9" i="6"/>
  <c r="H9" i="6"/>
  <c r="L8" i="6"/>
  <c r="H8" i="6"/>
  <c r="L7" i="6"/>
  <c r="H7" i="6"/>
  <c r="L6" i="6"/>
  <c r="H6" i="6"/>
  <c r="L5" i="6"/>
  <c r="H5" i="6"/>
  <c r="H18" i="4"/>
  <c r="H19" i="4"/>
  <c r="L18" i="4"/>
  <c r="L19" i="4"/>
  <c r="H17" i="4"/>
  <c r="L17" i="4"/>
  <c r="L15" i="5"/>
  <c r="L14" i="5"/>
  <c r="K14" i="5" s="1"/>
  <c r="L13" i="5"/>
  <c r="L12" i="5"/>
  <c r="L11" i="5"/>
  <c r="L10" i="5"/>
  <c r="L9" i="5"/>
  <c r="L8" i="5"/>
  <c r="L7" i="5"/>
  <c r="L6" i="5"/>
  <c r="L5" i="5"/>
  <c r="H13" i="4"/>
  <c r="H14" i="4"/>
  <c r="H15" i="4"/>
  <c r="H16" i="4"/>
  <c r="L13" i="4"/>
  <c r="L14" i="4"/>
  <c r="L15" i="4"/>
  <c r="L16" i="4"/>
  <c r="L12" i="4"/>
  <c r="H12" i="4"/>
  <c r="L11" i="4"/>
  <c r="H11" i="4"/>
  <c r="L10" i="4"/>
  <c r="H10" i="4"/>
  <c r="L9" i="4"/>
  <c r="H9" i="4"/>
  <c r="L8" i="4"/>
  <c r="H8" i="4"/>
  <c r="L7" i="4"/>
  <c r="H7" i="4"/>
  <c r="L6" i="4"/>
  <c r="H6" i="4"/>
  <c r="L5" i="4"/>
  <c r="H5" i="4"/>
  <c r="H7" i="1"/>
  <c r="L7" i="1"/>
  <c r="K6" i="4" l="1"/>
  <c r="K9" i="6"/>
  <c r="K11" i="6"/>
  <c r="K7" i="6"/>
  <c r="K15" i="5"/>
  <c r="K13" i="5"/>
  <c r="K9" i="5"/>
  <c r="K9" i="4"/>
  <c r="K10" i="5"/>
  <c r="K12" i="5"/>
  <c r="K11" i="5"/>
  <c r="K5" i="4"/>
  <c r="K8" i="6"/>
  <c r="K5" i="6"/>
  <c r="K15" i="6"/>
  <c r="K13" i="6"/>
  <c r="K6" i="6"/>
  <c r="K10" i="6"/>
  <c r="K14" i="6"/>
  <c r="K19" i="4"/>
  <c r="K18" i="4"/>
  <c r="K17" i="4"/>
  <c r="K10" i="4"/>
  <c r="K8" i="5"/>
  <c r="K7" i="5"/>
  <c r="K6" i="5"/>
  <c r="K5" i="5"/>
  <c r="K13" i="4"/>
  <c r="K15" i="4"/>
  <c r="K16" i="4"/>
  <c r="K14" i="4"/>
  <c r="K11" i="4"/>
  <c r="K8" i="4"/>
  <c r="K7" i="4"/>
  <c r="K12" i="4"/>
  <c r="K7" i="1"/>
  <c r="L5" i="1" l="1"/>
  <c r="L6" i="1"/>
  <c r="H6" i="1" l="1"/>
  <c r="K6" i="1" s="1"/>
  <c r="H5" i="1"/>
  <c r="K5"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<sst xmlns="http://schemas.openxmlformats.org/spreadsheetml/2006/main" count="1092" uniqueCount="353">
  <si>
    <t>Configuração</t>
  </si>
  <si>
    <t>Aprovações</t>
  </si>
  <si>
    <t>Nome do Funcionário</t>
  </si>
  <si>
    <t>Link</t>
  </si>
  <si>
    <t>Prefeitura Toledo</t>
  </si>
  <si>
    <t>Lavinia</t>
  </si>
  <si>
    <t>https://equiplano.toledo.pr.gov.br:7443/contribuinte/#/stpProcessos/pesquisa</t>
  </si>
  <si>
    <t>Cartório Reg. Imóveis</t>
  </si>
  <si>
    <t>https://www.cartoriospr.com.br/eandamento/index.php?token=</t>
  </si>
  <si>
    <t>IAT</t>
  </si>
  <si>
    <t>Renan</t>
  </si>
  <si>
    <t>https://www.iat.pr.gov.br/protocolo/info</t>
  </si>
  <si>
    <t>ANAC</t>
  </si>
  <si>
    <t>Michael</t>
  </si>
  <si>
    <t>https://sei.anac.gov.br/sei/controlador_externo.php?acao=usuario_externo_logar&amp;id_orgao_acesso_externo=0</t>
  </si>
  <si>
    <t>Sanepar</t>
  </si>
  <si>
    <t>Cristian</t>
  </si>
  <si>
    <t>https://auth-cs.identidadedigital.pr.gov.br/centralautenticacao/login.html?response_type=code&amp;client_id=9188905e74c28e489b44e954ec0b9bca&amp;redirect_uri=https%3A%2F%2Fwww.eprotocolo.pr.gov.br%2Fspiweb&amp;scope=null&amp;state=1779132779562&amp;urlCert=https://certauth-cs.identidadedigital.pr.gov.br&amp;dnsCidadao=https://cidadao-cs.identidadedigital.pr.gov.br/centralcidadao&amp;loginPadrao=btnCentral&amp;labelCentral=CPF&amp;modulosDeAutenticacao=btnCertificado,btnCpf,btnSanepar,btnCentral&amp;urlLogo=https%3A%2F%2Fwww.eprotocolo.pr.gov.br%2Fspiweb%2Fimages%2Flogo_eprotocolo.png&amp;acesso=2096&amp;tokenFormat=jwt&amp;exibirLinkAutoCadastro=true&amp;exibirLinkRecuperarSenha=true&amp;exibirLinkAutoCadastroCertificado=false&amp;exibirAviso=true&amp;captcha=false</t>
  </si>
  <si>
    <t>Copel</t>
  </si>
  <si>
    <t>https://www.copel.com/site/copel-distribuicao/acompanhamento-de-solicitacoes/?utm_source=home-page&amp;utm_medium=consulta-protocolo&amp;utm_campaign=servicos</t>
  </si>
  <si>
    <t>IPHAN</t>
  </si>
  <si>
    <t>https://saip.iphan.gov.br/</t>
  </si>
  <si>
    <t>Corpo de Bombeiros</t>
  </si>
  <si>
    <t>Prefeitura de Cascavel</t>
  </si>
  <si>
    <t>https://prefa.cascavel.pr.gov.br/autoatendimento/servicos/consulta-de-processo-digital</t>
  </si>
  <si>
    <t>Controlador De Protocolos Residencial Horizont - Toledo</t>
  </si>
  <si>
    <t xml:space="preserve">Sinalizador de Porcentagem Acima/Abaixo: </t>
  </si>
  <si>
    <t>STATUS</t>
  </si>
  <si>
    <t>Projeto + Protocolo</t>
  </si>
  <si>
    <t>Atividade</t>
  </si>
  <si>
    <t>Atribuída a</t>
  </si>
  <si>
    <t>Estimado
Início</t>
  </si>
  <si>
    <t>Estimado 
Término</t>
  </si>
  <si>
    <t>Duração Estimada (em dias)</t>
  </si>
  <si>
    <t>Real 
Início</t>
  </si>
  <si>
    <t>Real
Término</t>
  </si>
  <si>
    <t>Sinalizador para duração real acima/abaixo (em dias)S</t>
  </si>
  <si>
    <t>Duração Real (em dias)</t>
  </si>
  <si>
    <t>Anotações</t>
  </si>
  <si>
    <t>Situação</t>
  </si>
  <si>
    <t>APRO</t>
  </si>
  <si>
    <t>Horizont -  50027/2023</t>
  </si>
  <si>
    <t>Alvará de Construção</t>
  </si>
  <si>
    <t xml:space="preserve">Correções Encaminhada CLOS&gt; </t>
  </si>
  <si>
    <t>Retirado / Arquitetos</t>
  </si>
  <si>
    <t>Horizont - 49428/2023</t>
  </si>
  <si>
    <t>Desmembramento</t>
  </si>
  <si>
    <t>1ºAprovação</t>
  </si>
  <si>
    <t>Protocolo Finalizado</t>
  </si>
  <si>
    <t>Horizont - 1923/2024</t>
  </si>
  <si>
    <t>Recarimbo Desmembramento</t>
  </si>
  <si>
    <t>Tainara irá Analisar</t>
  </si>
  <si>
    <t>Análise Prefeitura</t>
  </si>
  <si>
    <t>Horizont - 328.011 06/12/2023
Alteração de Protocolo 329.317</t>
  </si>
  <si>
    <t>Aguardando Análise Cartório</t>
  </si>
  <si>
    <t xml:space="preserve">Aguardando </t>
  </si>
  <si>
    <t>Horizont - IAT 21.594.976-1</t>
  </si>
  <si>
    <t>Autorização Ambiental Desmembramento</t>
  </si>
  <si>
    <t>Protocolo Aberto</t>
  </si>
  <si>
    <t>Em Análise Protocolo Criado em 18/01/2024</t>
  </si>
  <si>
    <t>Horizont - 21.656.886-9
2024</t>
  </si>
  <si>
    <t>LAS - Licenciamento Ambiental Simplificado</t>
  </si>
  <si>
    <t>Arquivos Entregues para Análise</t>
  </si>
  <si>
    <t>CANC</t>
  </si>
  <si>
    <t>Horizont - 01450.000692/2024-36</t>
  </si>
  <si>
    <t>Anuência IPHAN</t>
  </si>
  <si>
    <t>Anuência IPHAN Qunato a Implantação do Empreendimento</t>
  </si>
  <si>
    <t>Horizont - 2.2.01.24.0001668600-47</t>
  </si>
  <si>
    <t>Aprovação PCIP</t>
  </si>
  <si>
    <t>Protocolo Aberto Aprovação de Projetos</t>
  </si>
  <si>
    <t>1º Análise Realizada 
Projetista Realizando Alterações</t>
  </si>
  <si>
    <t>Horizont - 2597 / 2024</t>
  </si>
  <si>
    <t>Notificação Laudo Cautelar</t>
  </si>
  <si>
    <t>Cartório</t>
  </si>
  <si>
    <t>Protocolado em Cartório</t>
  </si>
  <si>
    <t>Horizont - 2598 / 2024</t>
  </si>
  <si>
    <t>Horizont - 2599 / 2024</t>
  </si>
  <si>
    <t>Horizont - 2600 / 2024</t>
  </si>
  <si>
    <t>Horizont - 20245957717392</t>
  </si>
  <si>
    <t>Ligação Provisória Copel</t>
  </si>
  <si>
    <t>Protocolado em Copel</t>
  </si>
  <si>
    <t>Horizont - 330.571</t>
  </si>
  <si>
    <t>Incoporação Imobiliária</t>
  </si>
  <si>
    <t>Abertura de Processo</t>
  </si>
  <si>
    <t>29/04/2024 - Finalizado</t>
  </si>
  <si>
    <t>Horizont - 20246044579234</t>
  </si>
  <si>
    <t>Solicitação Liagção de 80A</t>
  </si>
  <si>
    <t>16/04/2024 - Finalizado</t>
  </si>
  <si>
    <t>ANÁL</t>
  </si>
  <si>
    <t>Ampliação de Carga</t>
  </si>
  <si>
    <t>aprovação de orçamento pelo cliente</t>
  </si>
  <si>
    <t>Horizont II - 244444482</t>
  </si>
  <si>
    <t>Protocolo SANEPAR</t>
  </si>
  <si>
    <t xml:space="preserve">Aprovação de projeto para ligação da servidão </t>
  </si>
  <si>
    <t>Protocolo aberto</t>
  </si>
  <si>
    <t>41779 / 2025</t>
  </si>
  <si>
    <t>Liberação para reforma de calçada e rua</t>
  </si>
  <si>
    <t>Eduarda</t>
  </si>
  <si>
    <t>Sanepar - 20250827115509211</t>
  </si>
  <si>
    <t>Ligação definitiva</t>
  </si>
  <si>
    <t>Horizont - 50917 / 2025</t>
  </si>
  <si>
    <t>Aprovação de drenagem</t>
  </si>
  <si>
    <t>Aprovação de projeto para a ligação de drenagem do empreendimento</t>
  </si>
  <si>
    <t>Controlador De Protocolos Residencial Ducale - Toledo</t>
  </si>
  <si>
    <t>Ducale - 50900/2023</t>
  </si>
  <si>
    <t>Renovação Alvará</t>
  </si>
  <si>
    <t>Pagamento da Taxa Realizado e Encaminhado ao Setor Responsável</t>
  </si>
  <si>
    <t>Duucale - 20240119.1537.02016</t>
  </si>
  <si>
    <t>Solicitação Ponto de Esgoto</t>
  </si>
  <si>
    <t>Aguardando Prazo de 30 Dias / Solicitação de execução de mais um ponto de esgoto, conforme projeto aprovado</t>
  </si>
  <si>
    <t>ProtocoloAberto</t>
  </si>
  <si>
    <t>Ducale - 20245757138534</t>
  </si>
  <si>
    <t>Atualização Valor Padrão de Entrada</t>
  </si>
  <si>
    <t>Ataulização de Valor Prolongamento de Rede</t>
  </si>
  <si>
    <t>2.2.01.25.0001529159-23</t>
  </si>
  <si>
    <t>Aprovação corpo de bombeiros - PR</t>
  </si>
  <si>
    <t>Suellen / Isabelly</t>
  </si>
  <si>
    <t>Aqua engenharia esta fazendo a aprovação para nós</t>
  </si>
  <si>
    <t>Ligação definitiva ducale</t>
  </si>
  <si>
    <t>Controlador De Protocolos Villa Bella I - Toledo</t>
  </si>
  <si>
    <t xml:space="preserve">CNPJ PRATI:      </t>
  </si>
  <si>
    <t xml:space="preserve">35.538.973/0001-63  </t>
  </si>
  <si>
    <t>CPF RODRIGO</t>
  </si>
  <si>
    <t>078.910.009-64</t>
  </si>
  <si>
    <t>CNPJ VILLA BELLA:</t>
  </si>
  <si>
    <t>57.740.735/0001-79</t>
  </si>
  <si>
    <t>Status</t>
  </si>
  <si>
    <t>Ceconi - 40136 /2024</t>
  </si>
  <si>
    <t>Solicitação a Comissão de Urbanismo - COMURB - Versão 1 - CNPJ: 04047086924</t>
  </si>
  <si>
    <t>Aprovado</t>
  </si>
  <si>
    <t>Concluido</t>
  </si>
  <si>
    <t>Ceconi - 48687/2024</t>
  </si>
  <si>
    <t>Desmembramento Imóvel Urbano - CNPJ: 36.686.706/0001-04</t>
  </si>
  <si>
    <t xml:space="preserve">Ceconi - 52374 / 2024 </t>
  </si>
  <si>
    <t>Análise Prévia de Projeto - EIV</t>
  </si>
  <si>
    <t>Análise Prévia de Projeto - Versão 1</t>
  </si>
  <si>
    <t>Villa Bella - 59.226 / 2024</t>
  </si>
  <si>
    <t>Anuência Prévia para IAP - Versão 05</t>
  </si>
  <si>
    <t>Villa Bella - 59.238 / 2024</t>
  </si>
  <si>
    <t>Solicitação de Unificação de Lotes - Versão 03     CPF: 060.525.989-56</t>
  </si>
  <si>
    <t>Villa Bella - 338.851 / 2024</t>
  </si>
  <si>
    <t>Escritura Pública de Doação</t>
  </si>
  <si>
    <t xml:space="preserve">Villa Bella - 23.177.759-8 </t>
  </si>
  <si>
    <t>Licenciamento Ambiental</t>
  </si>
  <si>
    <t>Encaminhado</t>
  </si>
  <si>
    <t>Villa Bella - 073-001351 / 2025</t>
  </si>
  <si>
    <t>Aprovação de Projeto Villa Bella I</t>
  </si>
  <si>
    <t>Aprovação de projeto de medição elétrica</t>
  </si>
  <si>
    <t>Rodrigo</t>
  </si>
  <si>
    <t>Atendido dia 07/04</t>
  </si>
  <si>
    <t>23.685.993-2</t>
  </si>
  <si>
    <t>Corpo de bombeiros</t>
  </si>
  <si>
    <t>Registro da Incorporação de condomínio</t>
  </si>
  <si>
    <t>18/06 - diligencias / assinaturas</t>
  </si>
  <si>
    <t>Escritura Pública de Permuta</t>
  </si>
  <si>
    <t>18/06 - diligencias / exigencias</t>
  </si>
  <si>
    <t>20259459823693 (20259901871675)</t>
  </si>
  <si>
    <t>Solicitação de Fornecimento de Energia</t>
  </si>
  <si>
    <t>Previsão de entrega do orçamento 03/07/2025</t>
  </si>
  <si>
    <t>Escritura pública de permuta</t>
  </si>
  <si>
    <t xml:space="preserve">Corte de árvores isoladas </t>
  </si>
  <si>
    <t>33869 / 2025</t>
  </si>
  <si>
    <t xml:space="preserve">Certidão de uso do solo </t>
  </si>
  <si>
    <t>24.269.948-3</t>
  </si>
  <si>
    <t>Protocolo sanepar</t>
  </si>
  <si>
    <t>43194 / 2025</t>
  </si>
  <si>
    <t>Ativação de cadastro V.B. 1</t>
  </si>
  <si>
    <t>Requerimento Servidão de Passagem</t>
  </si>
  <si>
    <t>10140 / 2026</t>
  </si>
  <si>
    <t>Drenagem</t>
  </si>
  <si>
    <t>Controlador De Protocolos Villa Bella II - Toledo</t>
  </si>
  <si>
    <t>Villa Bella II -073-001667 / 2025</t>
  </si>
  <si>
    <t>Aprovação de Projeto Villa Bella II</t>
  </si>
  <si>
    <t>Acompanhar pelo email</t>
  </si>
  <si>
    <t>18047/2025</t>
  </si>
  <si>
    <t>EIV Villa Bella II - CNPJ: 57.740.735/0001-79</t>
  </si>
  <si>
    <t xml:space="preserve">Aprovação de projetos </t>
  </si>
  <si>
    <t>Enca</t>
  </si>
  <si>
    <t>Incorporação de Condomínio</t>
  </si>
  <si>
    <t>certidão vintenaria</t>
  </si>
  <si>
    <t>24.301.139-6</t>
  </si>
  <si>
    <t>Carta de viabilidade</t>
  </si>
  <si>
    <t>Pedido carta de viabilidade</t>
  </si>
  <si>
    <t xml:space="preserve">43196 / 2025 </t>
  </si>
  <si>
    <t>Ativação de cadastro V.B. 2</t>
  </si>
  <si>
    <t xml:space="preserve">Protocolado </t>
  </si>
  <si>
    <t>Controlador De Protocolos Empreendimento Carmel - Toledo</t>
  </si>
  <si>
    <t>CNPJ CARMEL</t>
  </si>
  <si>
    <t>59.387.026/0001-87</t>
  </si>
  <si>
    <t>Carmel - 339.058 / 2024</t>
  </si>
  <si>
    <t>Escritura Pública de Compra e Venda</t>
  </si>
  <si>
    <t>Cancelado</t>
  </si>
  <si>
    <t>Carmel - 339.059 / 2024</t>
  </si>
  <si>
    <t>Requerimento de Averbação da Unificação</t>
  </si>
  <si>
    <t>Carmel - 340.165 / 2025</t>
  </si>
  <si>
    <t>339.058 / pt2</t>
  </si>
  <si>
    <t>Finalizado</t>
  </si>
  <si>
    <t>Carmel - 340.166 / 2025</t>
  </si>
  <si>
    <t>pt2</t>
  </si>
  <si>
    <t>Carmel - 340.167 / 2025</t>
  </si>
  <si>
    <t>339.059 / pt2</t>
  </si>
  <si>
    <t xml:space="preserve">Carmel 20258398330847 </t>
  </si>
  <si>
    <t>Medição</t>
  </si>
  <si>
    <t>Solicitação carta de viabilidade</t>
  </si>
  <si>
    <t xml:space="preserve">089-001941-2025 </t>
  </si>
  <si>
    <t>Análise prévia urbana (EIV)</t>
  </si>
  <si>
    <t>18.624 / 2025</t>
  </si>
  <si>
    <t>Análise EIV- 59.387.026/0001-87</t>
  </si>
  <si>
    <t>073-002070-2025</t>
  </si>
  <si>
    <t>Análise projeto arquitetonico</t>
  </si>
  <si>
    <t>Registro da Incorporação de condomInio</t>
  </si>
  <si>
    <t>31.947 / 2025</t>
  </si>
  <si>
    <t>LICENÇA PARA DEMOLIÇÃO</t>
  </si>
  <si>
    <t>38.321 / 2025</t>
  </si>
  <si>
    <t>Anuência Prévia</t>
  </si>
  <si>
    <t>retirado</t>
  </si>
  <si>
    <r>
      <t>25.453.390-4</t>
    </r>
    <r>
      <rPr>
        <sz val="11"/>
        <color theme="3" tint="-0.499984740745262"/>
        <rFont val="Century Gothic"/>
        <family val="2"/>
        <scheme val="minor"/>
      </rPr>
      <t>.</t>
    </r>
  </si>
  <si>
    <t>Pedido de ligação provisória do carmel</t>
  </si>
  <si>
    <t>Controlador De Protocolos Empreendimento Altona - Cascavel</t>
  </si>
  <si>
    <t>CNPJ PRATI:</t>
  </si>
  <si>
    <t>35.538.973/0001-63</t>
  </si>
  <si>
    <t>Protocolo</t>
  </si>
  <si>
    <t xml:space="preserve">Protocolo de viabilidade copel </t>
  </si>
  <si>
    <t>Controlador De Protocolos Empreendimento Biopark Toledo</t>
  </si>
  <si>
    <t>24.528 / 2026</t>
  </si>
  <si>
    <t>Solicitação a Comissão de Urbanismo - COMURB</t>
  </si>
  <si>
    <t>Controlador De Protocolos Empreendimento Bresolin - Cascavel</t>
  </si>
  <si>
    <t xml:space="preserve">Solicitação de viabilidade técnica do bresolin em cascavel </t>
  </si>
  <si>
    <t>Controlador De Protocolos Bella Citta - Cascavel</t>
  </si>
  <si>
    <t>C8SE4AGQ</t>
  </si>
  <si>
    <t xml:space="preserve">CNPJ </t>
  </si>
  <si>
    <t>61.876.344/0001-53</t>
  </si>
  <si>
    <t>143544 / 2025</t>
  </si>
  <si>
    <t>PGRCC Plano gerador residuos da construção</t>
  </si>
  <si>
    <t>Análise</t>
  </si>
  <si>
    <t>3518-25-CVL-DEU</t>
  </si>
  <si>
    <t>Michael acompanha pelo email</t>
  </si>
  <si>
    <t>Controlador De Protocolos Solar de Verona - Toledo</t>
  </si>
  <si>
    <t xml:space="preserve">CPF </t>
  </si>
  <si>
    <t>603.734.589-91</t>
  </si>
  <si>
    <t>34.228 / 2025</t>
  </si>
  <si>
    <t>08/01 - aprovação</t>
  </si>
  <si>
    <t>46.668 / 2025</t>
  </si>
  <si>
    <t>24.765.615-4</t>
  </si>
  <si>
    <t>16.483 / 2026       - 62.827.424/0001-81</t>
  </si>
  <si>
    <t>impacto de vizinhança</t>
  </si>
  <si>
    <t>Controlador De Protocolos Sede Hélio - Toledo</t>
  </si>
  <si>
    <t>38.423 / 2025</t>
  </si>
  <si>
    <t>Solicitação Secretaria do Planejamento estratégico</t>
  </si>
  <si>
    <t>concluido</t>
  </si>
  <si>
    <t>Protocolo de viabilidade copel</t>
  </si>
  <si>
    <t>Controlador De Protocolos Sperafico - Toledo</t>
  </si>
  <si>
    <t>CNPJ SPERAFICO</t>
  </si>
  <si>
    <t>85.466.951/0001-03</t>
  </si>
  <si>
    <t>46.663 / 2025</t>
  </si>
  <si>
    <t>COMURB -  solicitação de diretrizes urbanísticas para empreendimento habitacional</t>
  </si>
  <si>
    <t>ANÁLISE</t>
  </si>
  <si>
    <t>46.670 / 2025</t>
  </si>
  <si>
    <t>25.025.067-3</t>
  </si>
  <si>
    <t>Carta de Viabilidade</t>
  </si>
  <si>
    <t>Controlador De Protocolos Empreendimento 13 de Abril - Toledo</t>
  </si>
  <si>
    <t>53.640 / 2025</t>
  </si>
  <si>
    <t>solicita à COMURB as regras de zoneamento para cinco terrenos.</t>
  </si>
  <si>
    <t>Controlador De Protocolos Reserva do Lago - Toledo</t>
  </si>
  <si>
    <t>46.664 / 2025</t>
  </si>
  <si>
    <t>16.482 / 2026</t>
  </si>
  <si>
    <t>Impacto de vizinhança</t>
  </si>
  <si>
    <t>Solicitação de baixa na condição resolutivo da matricula</t>
  </si>
  <si>
    <t>6D6B59C9F0</t>
  </si>
  <si>
    <t>21.524 / 2026  </t>
  </si>
  <si>
    <t>20264175634246 </t>
  </si>
  <si>
    <t>CARTA VIABILIDADE</t>
  </si>
  <si>
    <t>Controlador De Protocolos Loteamento Vera Cruz - Toledo</t>
  </si>
  <si>
    <t>Vera Cruz - 20245786446752</t>
  </si>
  <si>
    <t>Aprovação de projeto elétrico</t>
  </si>
  <si>
    <t>Taciana</t>
  </si>
  <si>
    <t>Protocolo aberto pelo projetista Germano W.</t>
  </si>
  <si>
    <t>Reprovado. Necessários correções e abertura de novo protocolo.</t>
  </si>
  <si>
    <t>Vera Cruz - 20245974227560</t>
  </si>
  <si>
    <t>Vera Cruz - 22573/2023</t>
  </si>
  <si>
    <t>Solicita alvará de parcelamento do solo</t>
  </si>
  <si>
    <t>Protocolo aberto pela projetista Ana Cella Tramarim</t>
  </si>
  <si>
    <t>Aguardando liberação do projeto elétrico pela Copel</t>
  </si>
  <si>
    <t>PRAD Vera Cruz - 21.658.811-8</t>
  </si>
  <si>
    <t>Apresentação do segungo relatório de monitoramento da área PRAD</t>
  </si>
  <si>
    <t>Protocolo aberto pelo Eng. Florestal Yuri Coelho</t>
  </si>
  <si>
    <t>Protocolo aberto para envio dos relatórios de monitoramento.</t>
  </si>
  <si>
    <t>SEDE ÉLIO - 42467 / 2024</t>
  </si>
  <si>
    <t>Solicitação a COMURB para condominio residencial horizontal</t>
  </si>
  <si>
    <t>Concluído</t>
  </si>
  <si>
    <t>Controlador De Protocolos Loteamento Ludovico - Toledo</t>
  </si>
  <si>
    <t>Ludovico - 332.058</t>
  </si>
  <si>
    <t>Giovana</t>
  </si>
  <si>
    <t>Ludovico - 338.368</t>
  </si>
  <si>
    <t>Cancelamento do SISLEG</t>
  </si>
  <si>
    <t>03/12/2024 - Diligências</t>
  </si>
  <si>
    <t>Diligência a Retirar</t>
  </si>
  <si>
    <t>Ludovico - 336.710</t>
  </si>
  <si>
    <t>Controlador De Protocolos Loteamentol Gualtieri - Toledo</t>
  </si>
  <si>
    <t>Gualtieri - 1628/2024</t>
  </si>
  <si>
    <t>Verificação do ISSQN - Solicitação Depto da Receita - Versão: 6</t>
  </si>
  <si>
    <t>Parque - 63185/2023</t>
  </si>
  <si>
    <t>Solicitação de vistoria de conclusão de obras. Solicitação Secret do Planejamento Estratégico - Versão: 3</t>
  </si>
  <si>
    <t>Decreto entregue dia 27/02/2024</t>
  </si>
  <si>
    <t>PRAD Gualtieri - 1290/2024</t>
  </si>
  <si>
    <t>Apresentação de relatório de monitoramento ambiental referente ao plantio de mudas como compensação ambiental às autorizações florestais do Loteamento Gualtieri, em atendimento ao Termo de Compromisso firmado entre a Prati Empreendimentos LTDA e o Município de Toledo.</t>
  </si>
  <si>
    <t>PRAD Gualtieri - 21.798.998-1</t>
  </si>
  <si>
    <t>Relatórios de conclusão de plantio de mudas, acompanhados de seus
respectivos requerimentos de mudas junto ao viveiro florestal do IAT,
referente à compensação ambiental sobre as autorizações florestais do
Loteamento Gualtieri, município de Toledo/PR, em atendimento ao termo
de compromisso firmado entre as partes.</t>
  </si>
  <si>
    <t>PRAD Gualtieri - 10335/2024</t>
  </si>
  <si>
    <t>Relatório de conclusão de plantio - Lote Rural nº 26/27.D.1.2, comunidade Dois Irmãos, município de Toledo/PR.</t>
  </si>
  <si>
    <t>08/03/2024 - ultima atualização</t>
  </si>
  <si>
    <t>Encaminahdo</t>
  </si>
  <si>
    <t>PRAD Gualtieri - 22.004.825-0</t>
  </si>
  <si>
    <t>RELATÓRIO DE MONITORAMENTO AMBIENTAL (JANEIRO-MARÇO/2024)
EM FACE AO PROJETO DE COMPENSAÇÃO AMBIENTAL IMPLANTADO NO
PARQUE DAS ARAUCÁRIAS, NA ÁREA INSTITUCIONAL DOS LOTEAMENTOS
IMBUIA E FLORA GALANTE E NO LOTE RURAL No 26/27.D.1, ORIGINADA
DAS AUTORIZAÇÕES FLORESTAIS NO LOTEAMENTO GUALTIERI.</t>
  </si>
  <si>
    <t>Protocolo aberto pelo Engº Florestal Yuri Guimarães Vieira Coelho</t>
  </si>
  <si>
    <t>PRAD Gualtieri - 17296/2024</t>
  </si>
  <si>
    <t>RELATÓRIO DE MONITORAMENTO AMBIENTAL (JANEIRO-MARÇO/2024) EM FACE AO PROJETO DE COMPENSAÇÃO AMBIENTAL IMPLANTADO NO PARQUE DAS ARAUCÁRIAS, NA ÁREA INSTITUCIONAL DOS LOTEAMENTOS IMBUIA E FLORA GALANTE E NO LOTE RURAL Nº 26/27.D.1, ORIGINADA DAS AUTORIZAÇÕES FLORESTAIS NO LOTEAMENTO GUALTIERI.</t>
  </si>
  <si>
    <t>Parque - 20246292364583</t>
  </si>
  <si>
    <t>Solicitação de desligamento do padrão provisório</t>
  </si>
  <si>
    <t>Gualtieri - 20718/2024</t>
  </si>
  <si>
    <t>Ana Cella</t>
  </si>
  <si>
    <t>Acesso pelo CNPJ da Ana Cella</t>
  </si>
  <si>
    <t>Gualtieri - 33480/2024</t>
  </si>
  <si>
    <t>Solicitação para setor de cadastro ativar cadastros do loteamento</t>
  </si>
  <si>
    <t>PRAD GUALTIERI - 22.444.285-8</t>
  </si>
  <si>
    <t>3o RELATÓRIO DE MONITORAMENTO AMBIENTAL (ABRIL-JUNHO/2024)
EM FACE AO PROJETO DE COMPENSAÇÃO AMBIENTAL IMPLANTADO NO
PARQUE DAS ARAUCÁRIAS, NA ÁREA INSTITUCIONAL DOS LOTEAMENTOS
IMBUIA E FLORA GALANTE E NO LOTE RURAL No 26/27.D.1, ORIGINADA
DAS AUTORIZAÇÕES FLORESTAIS NO LOTEAMENTO GUALTIERI.</t>
  </si>
  <si>
    <t>PRAD GUALTIERI - 34098/2024</t>
  </si>
  <si>
    <t>APRESENTAÇÃO DE RELATÓRIO DE MONITORAMENTO DOS PLANTIOS DE MUDAS NATIVAS REFERENTE AO PARQUE DAS ARAUCÁRIAS, À ÁREA INSTITUCIONAL DOS LOTEAMENTOS IMBUIA E FLORA GALANTE E AO LOTE RURAL Nº 26/27.D.1 - PRATI EMPREENDIMENTOS</t>
  </si>
  <si>
    <t>GUALTIERI -36453 / 2024</t>
  </si>
  <si>
    <t>SOLICITA UNIFICAÇÃO E DESMEMBRAMENTO NA QUADRA NÚMERO 59.</t>
  </si>
  <si>
    <t>GUALTIERI - 37325 / 2024</t>
  </si>
  <si>
    <t>SOLICITA UNIFICAÇÃO E DESMEMBRAMENTO NA QUADRA NÚMERO 53, PARTE 1.</t>
  </si>
  <si>
    <t>GUALTIERI - 37328 / 2024</t>
  </si>
  <si>
    <t>SOLICITA UNIFICAÇÃO E DESMEMBRAMENTO NA QUADRA NÚMERO 53, PARTE 2.</t>
  </si>
  <si>
    <t xml:space="preserve">GUALTIERI - 334.797 </t>
  </si>
  <si>
    <t>REQUERIMENTO DE AVERBAÇÃO DA UNIFICAÇÃO.</t>
  </si>
  <si>
    <t>GUALTIEIRI - 335.352</t>
  </si>
  <si>
    <t>GUALTIEIRI - 335.353</t>
  </si>
  <si>
    <t>REQUERIMENTO DE AVERBAÇÃO DO DESMEMBRAMENTO.</t>
  </si>
  <si>
    <t>GUALTIERI - 44186 / 2024</t>
  </si>
  <si>
    <t>RECARIMBAR PARA ATENDER DIRIGÊNCIA DOS PROTOCOLOS 335.352 E 335.353</t>
  </si>
  <si>
    <t>GUALTIERI - 336.214 / 2024</t>
  </si>
  <si>
    <t>Parte 01.1</t>
  </si>
  <si>
    <t>GUALTIERI - 336.215 / 2024</t>
  </si>
  <si>
    <t>Parte 01.2</t>
  </si>
  <si>
    <t>GUALTIERI - 336.216 / 2024</t>
  </si>
  <si>
    <t>Parte 02.1</t>
  </si>
  <si>
    <t>GUALTIERI - 336.217 / 2024</t>
  </si>
  <si>
    <t>Parte 02.2</t>
  </si>
  <si>
    <t>GUALTIERI - 48772 / 2024</t>
  </si>
  <si>
    <t>SOLICITA RECARIMBO AO PROTOCOLO N° 37328/2024</t>
  </si>
  <si>
    <t>GUALTIERI - 337.247 / 2024</t>
  </si>
  <si>
    <t>GUALTIERI - 337.249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</si>
</sst>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R$&quot;\ * #,##0_-;\-&quot;R$&quot;\ * #,##0_-;_-&quot;R$&quot;\ * &quot;-&quot;_-;_-@_-"/>
    <numFmt numFmtId="165" formatCode="_-&quot;R$&quot;\ * #,##0.00_-;\-&quot;R$&quot;\ * #,##0.00_-;_-&quot;R$&quot;\ * &quot;-&quot;??_-;_-@_-"/>
    <numFmt numFmtId="166" formatCode="&quot;Sinalizador acima/abaixo&quot;;&quot;&quot;;&quot;&quot;"/>
  </numFmts>
  <fonts count="35">
    <font>
      <sz val="11"/>
      <color theme="3" tint="-0.499984740745262"/>
      <name val="Century Gothic"/>
      <family val="2"/>
      <scheme val="minor"/>
    </font>
    <font>
      <sz val="11"/>
      <color theme="1"/>
      <name val="Century Gothic"/>
      <family val="2"/>
      <charset val="134"/>
      <scheme val="minor"/>
    </font>
    <font>
      <b/>
      <sz val="11"/>
      <color rgb="FF3F3F3F"/>
      <name val="Century Gothic"/>
      <family val="2"/>
      <scheme val="minor"/>
    </font>
    <font>
      <sz val="8"/>
      <color theme="3"/>
      <name val="Century Gothic"/>
      <family val="2"/>
      <scheme val="minor"/>
    </font>
    <font>
      <sz val="24"/>
      <color theme="3"/>
      <name val="Century Gothic"/>
      <family val="2"/>
      <scheme val="minor"/>
    </font>
    <font>
      <sz val="24"/>
      <color theme="3"/>
      <name val="Century Gothic"/>
      <family val="2"/>
      <scheme val="major"/>
    </font>
    <font>
      <b/>
      <sz val="12"/>
      <color theme="9" tint="-0.499984740745262"/>
      <name val="Century Gothic"/>
      <family val="2"/>
      <scheme val="minor"/>
    </font>
    <font>
      <b/>
      <sz val="11"/>
      <color theme="2" tint="-0.89996032593768116"/>
      <name val="Century Gothic"/>
      <family val="2"/>
      <scheme val="minor"/>
    </font>
    <font>
      <sz val="11"/>
      <color theme="2" tint="-0.89992980742820516"/>
      <name val="Century Gothic"/>
      <family val="2"/>
      <scheme val="minor"/>
    </font>
    <font>
      <sz val="11"/>
      <color theme="2" tint="-0.89989928891872917"/>
      <name val="Century Gothic"/>
      <family val="2"/>
      <scheme val="minor"/>
    </font>
    <font>
      <sz val="11"/>
      <color theme="0"/>
      <name val="Century Gothic"/>
      <family val="2"/>
      <scheme val="minor"/>
    </font>
    <font>
      <b/>
      <sz val="11"/>
      <color theme="9"/>
      <name val="Century Gothic"/>
      <family val="2"/>
      <scheme val="minor"/>
    </font>
    <font>
      <sz val="11"/>
      <color theme="3" tint="-0.499984740745262"/>
      <name val="Century Gothic"/>
      <family val="2"/>
      <scheme val="minor"/>
    </font>
    <font>
      <sz val="11"/>
      <color rgb="FF006100"/>
      <name val="Century Gothic"/>
      <family val="2"/>
      <charset val="134"/>
      <scheme val="minor"/>
    </font>
    <font>
      <sz val="11"/>
      <color rgb="FF9C0006"/>
      <name val="Century Gothic"/>
      <family val="2"/>
      <charset val="134"/>
      <scheme val="minor"/>
    </font>
    <font>
      <sz val="11"/>
      <color rgb="FF9C5700"/>
      <name val="Century Gothic"/>
      <family val="2"/>
      <charset val="134"/>
      <scheme val="minor"/>
    </font>
    <font>
      <b/>
      <sz val="11"/>
      <color rgb="FFFA7D00"/>
      <name val="Century Gothic"/>
      <family val="2"/>
      <charset val="134"/>
      <scheme val="minor"/>
    </font>
    <font>
      <sz val="11"/>
      <color rgb="FFFA7D00"/>
      <name val="Century Gothic"/>
      <family val="2"/>
      <charset val="134"/>
      <scheme val="minor"/>
    </font>
    <font>
      <b/>
      <sz val="11"/>
      <color theme="0"/>
      <name val="Century Gothic"/>
      <family val="2"/>
      <charset val="134"/>
      <scheme val="minor"/>
    </font>
    <font>
      <sz val="11"/>
      <color rgb="FFFF0000"/>
      <name val="Century Gothic"/>
      <family val="2"/>
      <charset val="134"/>
      <scheme val="minor"/>
    </font>
    <font>
      <i/>
      <sz val="11"/>
      <color rgb="FF7F7F7F"/>
      <name val="Century Gothic"/>
      <family val="2"/>
      <charset val="134"/>
      <scheme val="minor"/>
    </font>
    <font>
      <b/>
      <sz val="11"/>
      <color theme="1"/>
      <name val="Century Gothic"/>
      <family val="2"/>
      <charset val="134"/>
      <scheme val="minor"/>
    </font>
    <font>
      <sz val="11"/>
      <color theme="0"/>
      <name val="Century Gothic"/>
      <family val="2"/>
      <charset val="134"/>
      <scheme val="minor"/>
    </font>
    <font>
      <b/>
      <sz val="11"/>
      <color theme="0"/>
      <name val="Century Gothic"/>
      <family val="2"/>
      <scheme val="minor"/>
    </font>
    <font>
      <b/>
      <sz val="12"/>
      <color theme="0"/>
      <name val="Century Gothic"/>
      <family val="2"/>
      <scheme val="minor"/>
    </font>
    <font>
      <sz val="8"/>
      <name val="Century Gothic"/>
      <family val="2"/>
      <scheme val="minor"/>
    </font>
    <font>
      <b/>
      <sz val="24"/>
      <color theme="1"/>
      <name val="Century Gothic"/>
      <family val="2"/>
      <scheme val="major"/>
    </font>
    <font>
      <sz val="11"/>
      <color rgb="FF212529"/>
      <name val="Open Sans"/>
      <family val="2"/>
    </font>
    <font>
      <b/>
      <sz val="22"/>
      <color theme="1"/>
      <name val="Century Gothic"/>
      <family val="2"/>
      <scheme val="major"/>
    </font>
    <font>
      <sz val="11"/>
      <color rgb="FF212529"/>
      <name val="Century Gothic"/>
      <family val="2"/>
      <scheme val="minor"/>
    </font>
    <font>
      <b/>
      <sz val="20"/>
      <color theme="1"/>
      <name val="Century Gothic"/>
      <family val="2"/>
      <scheme val="major"/>
    </font>
    <font>
      <sz val="11"/>
      <color rgb="FFFF0000"/>
      <name val="Century Gothic"/>
      <family val="2"/>
      <scheme val="minor"/>
    </font>
    <font>
      <sz val="11"/>
      <name val="Century Gothic"/>
      <family val="2"/>
      <scheme val="minor"/>
    </font>
    <font>
      <sz val="11"/>
      <name val="Century Gothic"/>
      <family val="2"/>
    </font>
    <font>
      <u/>
      <sz val="11"/>
      <color theme="10"/>
      <name val="Century Gothic"/>
      <family val="2"/>
      <scheme val="minor"/>
    </font>
  </fonts>
  <fills count="35">
    <fill>
      <patternFill patternType="none"/>
    </fill>
    <fill>
      <patternFill patternType="gray125"/>
    </fill>
    <fill>
      <patternFill patternType="solid">
        <fgColor theme="2"/>
        <bgColor indexed="64"/>
      </patternFill>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33D"/>
        <bgColor indexed="64"/>
      </patternFill>
    </fill>
    <fill>
      <patternFill patternType="solid">
        <fgColor theme="0"/>
        <bgColor indexed="64"/>
      </patternFill>
    </fill>
  </fills>
  <borders count="20">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theme="9"/>
      </right>
      <top/>
      <bottom/>
      <diagonal/>
    </border>
    <border>
      <left/>
      <right/>
      <top style="thin">
        <color theme="3" tint="0.59996337778862885"/>
      </top>
      <bottom style="thin">
        <color rgb="FFF8943F"/>
      </bottom>
      <diagonal/>
    </border>
    <border>
      <left/>
      <right style="thick">
        <color theme="0"/>
      </right>
      <top style="thin">
        <color theme="3" tint="0.59996337778862885"/>
      </top>
      <bottom style="thin">
        <color rgb="FFF8943F"/>
      </bottom>
      <diagonal/>
    </border>
    <border>
      <left style="thick">
        <color theme="0"/>
      </left>
      <right/>
      <top style="thin">
        <color theme="3" tint="0.59996337778862885"/>
      </top>
      <bottom style="thin">
        <color rgb="FFF8943F"/>
      </bottom>
      <diagonal/>
    </border>
    <border>
      <left style="thin">
        <color auto="1"/>
      </left>
      <right/>
      <top style="thin">
        <color theme="3" tint="0.59996337778862885"/>
      </top>
      <bottom style="thin">
        <color rgb="FFF8943F"/>
      </bottom>
      <diagonal/>
    </border>
    <border>
      <left/>
      <right/>
      <top style="thin">
        <color theme="3" tint="0.59996337778862885"/>
      </top>
      <bottom style="thin">
        <color theme="3" tint="0.59996337778862885"/>
      </bottom>
      <diagonal/>
    </border>
    <border>
      <left style="thick">
        <color theme="0"/>
      </left>
      <right/>
      <top style="thin">
        <color theme="3" tint="0.59996337778862885"/>
      </top>
      <bottom style="thin">
        <color theme="3" tint="0.59996337778862885"/>
      </bottom>
      <diagonal/>
    </border>
    <border>
      <left style="thin">
        <color auto="1"/>
      </left>
      <right/>
      <top style="thin">
        <color theme="3" tint="0.59996337778862885"/>
      </top>
      <bottom style="thin">
        <color theme="3" tint="0.59996337778862885"/>
      </bottom>
      <diagonal/>
    </border>
  </borders>
  <cellStyleXfs count="55">
    <xf numFmtId="0" fontId="0" fillId="0" borderId="0">
      <alignment vertical="center"/>
    </xf>
    <xf numFmtId="0" fontId="4" fillId="0" borderId="0" applyNumberFormat="0" applyFill="0" applyBorder="0" applyProtection="0">
      <alignment horizontal="left" vertical="center" indent="1"/>
    </xf>
    <xf numFmtId="9" fontId="6" fillId="0" borderId="3" applyProtection="0">
      <alignment horizontal="center" vertical="center"/>
    </xf>
    <xf numFmtId="0" fontId="2" fillId="2" borderId="1" applyNumberFormat="0" applyFont="0" applyBorder="0" applyProtection="0">
      <alignment horizontal="right" vertical="center" indent="2"/>
    </xf>
    <xf numFmtId="3" fontId="9" fillId="0" borderId="0" applyFill="0" applyBorder="0" applyProtection="0">
      <alignment horizontal="left" vertical="center" indent="1"/>
    </xf>
    <xf numFmtId="0" fontId="9" fillId="0" borderId="0" applyFill="0" applyBorder="0" applyProtection="0">
      <alignment horizontal="left" vertical="center" wrapText="1" indent="1"/>
    </xf>
    <xf numFmtId="0" fontId="7" fillId="0" borderId="0" applyNumberFormat="0" applyBorder="0" applyProtection="0">
      <alignment horizontal="left" vertical="center" wrapText="1" indent="1"/>
    </xf>
    <xf numFmtId="0" fontId="3" fillId="3" borderId="2" applyNumberFormat="0" applyFont="0" applyAlignment="0" applyProtection="0"/>
    <xf numFmtId="14" fontId="8" fillId="0" borderId="0" applyFill="0" applyBorder="0" applyProtection="0">
      <alignment horizontal="right" vertical="center" indent="2"/>
    </xf>
    <xf numFmtId="0" fontId="5" fillId="0" borderId="0" applyNumberFormat="0" applyFill="0" applyBorder="0" applyAlignment="0" applyProtection="0"/>
    <xf numFmtId="166" fontId="11" fillId="0" borderId="0" applyFill="0" applyProtection="0">
      <alignment horizontal="left" vertical="center" indent="1"/>
    </xf>
    <xf numFmtId="0" fontId="7" fillId="0" borderId="5" applyNumberFormat="0" applyFill="0" applyProtection="0">
      <alignment horizontal="left" vertical="center" wrapText="1" indent="2"/>
    </xf>
    <xf numFmtId="166" fontId="10" fillId="0" borderId="4">
      <alignment horizontal="right" vertical="center"/>
    </xf>
    <xf numFmtId="14" fontId="8" fillId="0" borderId="5">
      <alignment horizontal="left" vertical="center" indent="2"/>
    </xf>
    <xf numFmtId="3" fontId="9" fillId="2" borderId="0" applyBorder="0">
      <alignment horizontal="left" vertical="center" indent="1"/>
    </xf>
    <xf numFmtId="3" fontId="9" fillId="2" borderId="6">
      <alignment horizontal="left" vertical="center" indent="1"/>
    </xf>
    <xf numFmtId="43" fontId="12" fillId="0" borderId="0" applyFont="0" applyFill="0" applyBorder="0" applyAlignment="0" applyProtection="0"/>
    <xf numFmtId="41" fontId="12" fillId="0" borderId="0" applyFont="0" applyFill="0" applyBorder="0" applyAlignment="0" applyProtection="0"/>
    <xf numFmtId="165" fontId="12" fillId="0" borderId="0" applyFont="0" applyFill="0" applyBorder="0" applyAlignment="0" applyProtection="0"/>
    <xf numFmtId="164" fontId="12" fillId="0" borderId="0" applyFont="0" applyFill="0" applyBorder="0" applyAlignment="0" applyProtection="0"/>
    <xf numFmtId="9" fontId="12" fillId="0" borderId="0" applyFon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5" fillId="6" borderId="0" applyNumberFormat="0" applyBorder="0" applyAlignment="0" applyProtection="0"/>
    <xf numFmtId="0" fontId="16" fillId="7" borderId="7" applyNumberFormat="0" applyAlignment="0" applyProtection="0"/>
    <xf numFmtId="0" fontId="17" fillId="0" borderId="8" applyNumberFormat="0" applyFill="0" applyAlignment="0" applyProtection="0"/>
    <xf numFmtId="0" fontId="18" fillId="8" borderId="9"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2"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4" fillId="0" borderId="0" applyNumberFormat="0" applyFill="0" applyBorder="0" applyAlignment="0" applyProtection="0">
      <alignment vertical="center"/>
    </xf>
  </cellStyleXfs>
  <cellXfs count="135">
    <xf numFmtId="0" fontId="0" fillId="0" borderId="0" xfId="0">
      <alignment vertical="center"/>
    </xf>
    <xf numFmtId="14" fontId="0" fillId="0" borderId="0" xfId="8" applyFont="1" applyAlignment="1" applyProtection="1">
      <alignment vertical="center"/>
    </xf>
    <xf numFmtId="0" fontId="4" fillId="0" borderId="0" xfId="1" applyAlignment="1" applyProtection="1">
      <alignment vertical="center"/>
    </xf>
    <xf numFmtId="0" fontId="0" fillId="0" borderId="0" xfId="0" applyAlignment="1">
      <alignment horizontal="right" vertical="center"/>
    </xf>
    <xf numFmtId="0" fontId="5" fillId="0" borderId="0" xfId="9" applyAlignment="1" applyProtection="1">
      <alignment vertical="center"/>
    </xf>
    <xf numFmtId="0" fontId="9" fillId="0" borderId="0" xfId="5">
      <alignment horizontal="left" vertical="center" wrapText="1" indent="1"/>
    </xf>
    <xf numFmtId="0" fontId="9" fillId="0" borderId="0" xfId="5" applyBorder="1">
      <alignment horizontal="left" vertical="center" wrapText="1" indent="1"/>
    </xf>
    <xf numFmtId="14" fontId="8" fillId="0" borderId="0" xfId="8" applyBorder="1">
      <alignment horizontal="right" vertical="center" indent="2"/>
    </xf>
    <xf numFmtId="14" fontId="8" fillId="0" borderId="5" xfId="13">
      <alignment horizontal="left" vertical="center" indent="2"/>
    </xf>
    <xf numFmtId="3" fontId="9" fillId="2" borderId="0" xfId="14" applyBorder="1">
      <alignment horizontal="left" vertical="center" indent="1"/>
    </xf>
    <xf numFmtId="0" fontId="9" fillId="0" borderId="0" xfId="5" applyProtection="1">
      <alignment horizontal="left" vertical="center" wrapText="1" indent="1"/>
    </xf>
    <xf numFmtId="14" fontId="8" fillId="0" borderId="0" xfId="8" applyProtection="1">
      <alignment horizontal="right" vertical="center" indent="2"/>
    </xf>
    <xf numFmtId="3" fontId="9" fillId="2" borderId="0" xfId="14">
      <alignment horizontal="left" vertical="center" indent="1"/>
    </xf>
    <xf numFmtId="3" fontId="9" fillId="2" borderId="6" xfId="15">
      <alignment horizontal="left" vertical="center" indent="1"/>
    </xf>
    <xf numFmtId="166" fontId="10" fillId="0" borderId="4" xfId="12">
      <alignment horizontal="right" vertical="center"/>
    </xf>
    <xf numFmtId="0" fontId="23" fillId="33" borderId="0" xfId="6" applyFont="1" applyFill="1" applyBorder="1">
      <alignment horizontal="left" vertical="center" wrapText="1" indent="1"/>
    </xf>
    <xf numFmtId="14" fontId="23" fillId="33" borderId="0" xfId="6" applyNumberFormat="1" applyFont="1" applyFill="1" applyBorder="1">
      <alignment horizontal="left" vertical="center" wrapText="1" indent="1"/>
    </xf>
    <xf numFmtId="0" fontId="23" fillId="33" borderId="0" xfId="6" applyNumberFormat="1" applyFont="1" applyFill="1" applyBorder="1">
      <alignment horizontal="left" vertical="center" wrapText="1" indent="1"/>
    </xf>
    <xf numFmtId="14" fontId="23" fillId="33" borderId="5" xfId="11" applyNumberFormat="1" applyFont="1" applyFill="1">
      <alignment horizontal="left" vertical="center" wrapText="1" indent="2"/>
    </xf>
    <xf numFmtId="3" fontId="23" fillId="33" borderId="0" xfId="6" applyNumberFormat="1" applyFont="1" applyFill="1" applyBorder="1">
      <alignment horizontal="left" vertical="center" wrapText="1" indent="1"/>
    </xf>
    <xf numFmtId="9" fontId="24" fillId="33" borderId="3" xfId="2" applyFont="1" applyFill="1" applyProtection="1">
      <alignment horizontal="center" vertical="center"/>
    </xf>
    <xf numFmtId="0" fontId="23" fillId="33" borderId="0" xfId="6" applyFont="1" applyFill="1">
      <alignment horizontal="left" vertical="center" wrapText="1" indent="1"/>
    </xf>
    <xf numFmtId="0" fontId="10" fillId="33" borderId="0" xfId="0" applyFont="1" applyFill="1">
      <alignment vertical="center"/>
    </xf>
    <xf numFmtId="166" fontId="23" fillId="33" borderId="0" xfId="10" applyFont="1" applyFill="1" applyAlignment="1">
      <alignment horizontal="left" vertical="center" wrapText="1" indent="1"/>
    </xf>
    <xf numFmtId="0" fontId="26" fillId="0" borderId="0" xfId="9" applyFont="1" applyAlignment="1" applyProtection="1">
      <alignment vertical="center"/>
    </xf>
    <xf numFmtId="0" fontId="26" fillId="0" borderId="0" xfId="9" applyFont="1" applyAlignment="1">
      <alignment vertical="center"/>
    </xf>
    <xf numFmtId="0" fontId="9" fillId="0" borderId="0" xfId="5" applyBorder="1" applyAlignment="1">
      <alignment horizontal="left" vertical="center" wrapText="1"/>
    </xf>
    <xf numFmtId="0" fontId="9" fillId="0" borderId="11" xfId="5" applyFill="1" applyBorder="1">
      <alignment horizontal="left" vertical="center" wrapText="1" indent="1"/>
    </xf>
    <xf numFmtId="166" fontId="23" fillId="33" borderId="0" xfId="10" applyFont="1" applyFill="1" applyAlignment="1">
      <alignment horizontal="center" vertical="center" wrapText="1"/>
    </xf>
    <xf numFmtId="0" fontId="23" fillId="33" borderId="0" xfId="6" applyNumberFormat="1" applyFont="1" applyFill="1" applyBorder="1" applyAlignment="1">
      <alignment horizontal="center" vertical="center" wrapText="1"/>
    </xf>
    <xf numFmtId="14" fontId="0" fillId="0" borderId="0" xfId="8" applyFont="1" applyAlignment="1" applyProtection="1">
      <alignment horizontal="center" vertical="top"/>
    </xf>
    <xf numFmtId="0" fontId="0" fillId="0" borderId="0" xfId="0" applyAlignment="1">
      <alignment horizontal="center" vertical="center"/>
    </xf>
    <xf numFmtId="14" fontId="0" fillId="0" borderId="0" xfId="8" applyFont="1" applyAlignment="1" applyProtection="1">
      <alignment horizontal="center" wrapText="1"/>
    </xf>
    <xf numFmtId="0" fontId="9" fillId="0" borderId="0" xfId="5" applyFill="1" applyBorder="1">
      <alignment horizontal="left" vertical="center" wrapText="1" indent="1"/>
    </xf>
    <xf numFmtId="14" fontId="0" fillId="0" borderId="0" xfId="8" applyFont="1" applyAlignment="1" applyProtection="1">
      <alignment horizontal="center" vertical="center"/>
    </xf>
    <xf numFmtId="0" fontId="23" fillId="33" borderId="0" xfId="6" applyFont="1" applyFill="1" applyBorder="1" applyAlignment="1">
      <alignment horizontal="center" vertical="center" wrapText="1"/>
    </xf>
    <xf numFmtId="14" fontId="23" fillId="33" borderId="0" xfId="6" applyNumberFormat="1" applyFont="1" applyFill="1" applyBorder="1" applyAlignment="1">
      <alignment horizontal="center" vertical="center" wrapText="1"/>
    </xf>
    <xf numFmtId="14" fontId="23" fillId="33" borderId="5" xfId="11" applyNumberFormat="1" applyFont="1" applyFill="1" applyAlignment="1">
      <alignment horizontal="center" vertical="center" wrapText="1"/>
    </xf>
    <xf numFmtId="3" fontId="23" fillId="33" borderId="0" xfId="6" applyNumberFormat="1" applyFont="1" applyFill="1" applyBorder="1" applyAlignment="1">
      <alignment horizontal="center" vertical="center" wrapText="1"/>
    </xf>
    <xf numFmtId="0" fontId="9" fillId="0" borderId="0" xfId="5" applyBorder="1" applyAlignment="1">
      <alignment horizontal="center" vertical="center" wrapText="1"/>
    </xf>
    <xf numFmtId="0" fontId="9" fillId="0" borderId="0" xfId="5" applyAlignment="1" applyProtection="1">
      <alignment horizontal="center" vertical="center" wrapText="1"/>
    </xf>
    <xf numFmtId="0" fontId="9" fillId="0" borderId="0" xfId="5" applyAlignment="1">
      <alignment horizontal="center" vertical="center" wrapText="1"/>
    </xf>
    <xf numFmtId="14" fontId="8" fillId="0" borderId="0" xfId="8" applyBorder="1" applyAlignment="1">
      <alignment horizontal="center" vertical="center"/>
    </xf>
    <xf numFmtId="14" fontId="8" fillId="0" borderId="0" xfId="8" applyAlignment="1" applyProtection="1">
      <alignment horizontal="center" vertical="center"/>
    </xf>
    <xf numFmtId="3" fontId="9" fillId="2" borderId="6" xfId="15" applyAlignment="1">
      <alignment horizontal="center" vertical="center"/>
    </xf>
    <xf numFmtId="14" fontId="8" fillId="0" borderId="5" xfId="13" applyAlignment="1">
      <alignment horizontal="center" vertical="center"/>
    </xf>
    <xf numFmtId="3" fontId="9" fillId="2" borderId="0" xfId="14" applyBorder="1" applyAlignment="1">
      <alignment horizontal="center" vertical="center"/>
    </xf>
    <xf numFmtId="3" fontId="9" fillId="2" borderId="0" xfId="14" applyAlignment="1">
      <alignment horizontal="center" vertical="center"/>
    </xf>
    <xf numFmtId="0" fontId="5" fillId="0" borderId="0" xfId="9" applyAlignment="1" applyProtection="1">
      <alignment horizontal="center" vertical="center"/>
    </xf>
    <xf numFmtId="0" fontId="27" fillId="0" borderId="0" xfId="0" applyFont="1" applyAlignment="1">
      <alignment horizontal="center" vertical="center" wrapText="1"/>
    </xf>
    <xf numFmtId="0" fontId="29" fillId="0" borderId="0" xfId="0" applyFont="1" applyAlignment="1">
      <alignment horizontal="center" vertical="center" wrapText="1"/>
    </xf>
    <xf numFmtId="0" fontId="4" fillId="0" borderId="0" xfId="1" applyAlignment="1" applyProtection="1">
      <alignment horizontal="center" vertical="center"/>
    </xf>
    <xf numFmtId="0" fontId="9" fillId="0" borderId="11" xfId="5" applyFill="1" applyBorder="1" applyAlignment="1">
      <alignment horizontal="center" vertical="center" wrapText="1"/>
    </xf>
    <xf numFmtId="0" fontId="26" fillId="0" borderId="0" xfId="9" applyFont="1" applyAlignment="1" applyProtection="1">
      <alignment horizontal="left" vertical="center"/>
    </xf>
    <xf numFmtId="0" fontId="5" fillId="0" borderId="0" xfId="9" applyAlignment="1" applyProtection="1">
      <alignment horizontal="left" vertical="center"/>
    </xf>
    <xf numFmtId="0" fontId="0" fillId="0" borderId="0" xfId="0" applyAlignment="1">
      <alignment horizontal="left" vertical="center"/>
    </xf>
    <xf numFmtId="0" fontId="23" fillId="33" borderId="0" xfId="6" applyFont="1" applyFill="1" applyBorder="1" applyAlignment="1">
      <alignment horizontal="left" vertical="center" wrapText="1"/>
    </xf>
    <xf numFmtId="0" fontId="9" fillId="0" borderId="0" xfId="5" applyAlignment="1" applyProtection="1">
      <alignment horizontal="left" vertical="center" wrapText="1"/>
    </xf>
    <xf numFmtId="0" fontId="9" fillId="0" borderId="0" xfId="5" applyAlignment="1">
      <alignment horizontal="left" vertical="center" wrapText="1"/>
    </xf>
    <xf numFmtId="14" fontId="9" fillId="0" borderId="0" xfId="5" applyNumberFormat="1" applyBorder="1" applyAlignment="1">
      <alignment horizontal="center" vertical="center" wrapText="1"/>
    </xf>
    <xf numFmtId="0" fontId="27" fillId="0" borderId="0" xfId="0" applyFont="1" applyAlignment="1">
      <alignment horizontal="left" vertical="center" wrapText="1"/>
    </xf>
    <xf numFmtId="0" fontId="9" fillId="0" borderId="0" xfId="5" applyFill="1" applyBorder="1" applyAlignment="1">
      <alignment horizontal="left" vertical="center" wrapText="1"/>
    </xf>
    <xf numFmtId="166" fontId="10" fillId="0" borderId="4" xfId="12" applyAlignment="1">
      <alignment horizontal="center" vertical="center"/>
    </xf>
    <xf numFmtId="16" fontId="9" fillId="0" borderId="0" xfId="5" applyNumberFormat="1" applyBorder="1" applyAlignment="1">
      <alignment horizontal="center" vertical="center" wrapText="1"/>
    </xf>
    <xf numFmtId="0" fontId="0" fillId="0" borderId="11" xfId="0" applyBorder="1" applyAlignment="1">
      <alignment horizontal="center" vertical="center"/>
    </xf>
    <xf numFmtId="0" fontId="26" fillId="0" borderId="0" xfId="9" applyFont="1" applyAlignment="1" applyProtection="1">
      <alignment horizontal="center" vertical="center"/>
    </xf>
    <xf numFmtId="0" fontId="9" fillId="0" borderId="0" xfId="5" applyFill="1" applyBorder="1" applyAlignment="1">
      <alignment horizontal="center" vertical="center" wrapText="1"/>
    </xf>
    <xf numFmtId="14" fontId="9" fillId="0" borderId="0" xfId="5" applyNumberFormat="1" applyBorder="1">
      <alignment horizontal="left" vertical="center" wrapText="1" indent="1"/>
    </xf>
    <xf numFmtId="16" fontId="9" fillId="0" borderId="0" xfId="5" applyNumberFormat="1" applyBorder="1">
      <alignment horizontal="left" vertical="center" wrapText="1" indent="1"/>
    </xf>
    <xf numFmtId="14" fontId="0" fillId="0" borderId="0" xfId="8" applyFont="1" applyAlignment="1" applyProtection="1">
      <alignment horizontal="center" vertical="center" wrapText="1"/>
    </xf>
    <xf numFmtId="3" fontId="9" fillId="34" borderId="6" xfId="15" applyFill="1" applyAlignment="1">
      <alignment horizontal="center" vertical="center"/>
    </xf>
    <xf numFmtId="1" fontId="9" fillId="0" borderId="0" xfId="5" applyNumberFormat="1" applyBorder="1" applyAlignment="1">
      <alignment horizontal="center" vertical="center" wrapText="1"/>
    </xf>
    <xf numFmtId="1" fontId="9" fillId="0" borderId="0" xfId="5" applyNumberFormat="1" applyAlignment="1" applyProtection="1">
      <alignment horizontal="left" vertical="center" wrapText="1"/>
    </xf>
    <xf numFmtId="14" fontId="9" fillId="0" borderId="0" xfId="5" applyNumberFormat="1" applyAlignment="1" applyProtection="1">
      <alignment horizontal="center" vertical="center" wrapText="1"/>
    </xf>
    <xf numFmtId="0" fontId="9" fillId="34" borderId="0" xfId="5" applyFill="1" applyBorder="1" applyAlignment="1">
      <alignment horizontal="left" vertical="center" wrapText="1"/>
    </xf>
    <xf numFmtId="0" fontId="27" fillId="34" borderId="0" xfId="0" applyFont="1" applyFill="1" applyAlignment="1">
      <alignment horizontal="left" vertical="center" wrapText="1"/>
    </xf>
    <xf numFmtId="0" fontId="9" fillId="0" borderId="0" xfId="5" applyFill="1" applyAlignment="1">
      <alignment horizontal="center" vertical="center" wrapText="1"/>
    </xf>
    <xf numFmtId="3" fontId="9" fillId="0" borderId="0" xfId="5" applyNumberFormat="1" applyAlignment="1">
      <alignment horizontal="left" vertical="center" wrapText="1"/>
    </xf>
    <xf numFmtId="0" fontId="9" fillId="34" borderId="0" xfId="5" applyFill="1" applyBorder="1" applyAlignment="1">
      <alignment horizontal="center" vertical="center" wrapText="1"/>
    </xf>
    <xf numFmtId="0" fontId="9" fillId="34" borderId="0" xfId="5" applyFill="1" applyAlignment="1">
      <alignment horizontal="center" vertical="center" wrapText="1"/>
    </xf>
    <xf numFmtId="0" fontId="9" fillId="34" borderId="0" xfId="5" applyFill="1" applyAlignment="1" applyProtection="1">
      <alignment horizontal="center" vertical="center" wrapText="1"/>
    </xf>
    <xf numFmtId="14" fontId="8" fillId="34" borderId="0" xfId="8" applyFill="1" applyBorder="1" applyAlignment="1">
      <alignment horizontal="center" vertical="center"/>
    </xf>
    <xf numFmtId="3" fontId="31" fillId="2" borderId="0" xfId="14" applyFont="1" applyBorder="1" applyAlignment="1">
      <alignment horizontal="center" vertical="center"/>
    </xf>
    <xf numFmtId="0" fontId="0" fillId="0" borderId="0" xfId="8" applyNumberFormat="1" applyFont="1" applyAlignment="1" applyProtection="1">
      <alignment horizontal="center" vertical="center"/>
    </xf>
    <xf numFmtId="1" fontId="9" fillId="0" borderId="0" xfId="5" applyNumberFormat="1" applyAlignment="1">
      <alignment horizontal="left" vertical="center" wrapText="1"/>
    </xf>
    <xf numFmtId="0" fontId="9" fillId="0" borderId="0" xfId="5" applyFill="1" applyAlignment="1" applyProtection="1">
      <alignment horizontal="center" vertical="center" wrapText="1"/>
    </xf>
    <xf numFmtId="1" fontId="9" fillId="0" borderId="0" xfId="5" applyNumberFormat="1">
      <alignment horizontal="left" vertical="center" wrapText="1" indent="1"/>
    </xf>
    <xf numFmtId="3" fontId="9" fillId="0" borderId="0" xfId="5" applyNumberFormat="1" applyAlignment="1">
      <alignment horizontal="center" vertical="center" wrapText="1"/>
    </xf>
    <xf numFmtId="3" fontId="9" fillId="0" borderId="0" xfId="5" applyNumberFormat="1" applyAlignment="1" applyProtection="1">
      <alignment horizontal="left" vertical="center" wrapText="1"/>
    </xf>
    <xf numFmtId="14" fontId="8" fillId="0" borderId="0" xfId="8" applyAlignment="1">
      <alignment horizontal="center" vertical="center"/>
    </xf>
    <xf numFmtId="2" fontId="0" fillId="0" borderId="0" xfId="0" applyNumberFormat="1">
      <alignment vertical="center"/>
    </xf>
    <xf numFmtId="0" fontId="9" fillId="0" borderId="13" xfId="5" applyBorder="1">
      <alignment horizontal="left" vertical="center" wrapText="1" indent="1"/>
    </xf>
    <xf numFmtId="14" fontId="8" fillId="0" borderId="13" xfId="8" applyBorder="1">
      <alignment horizontal="right" vertical="center" indent="2"/>
    </xf>
    <xf numFmtId="3" fontId="9" fillId="2" borderId="14" xfId="15" applyBorder="1">
      <alignment horizontal="left" vertical="center" indent="1"/>
    </xf>
    <xf numFmtId="14" fontId="8" fillId="0" borderId="15" xfId="13" applyBorder="1">
      <alignment horizontal="left" vertical="center" indent="2"/>
    </xf>
    <xf numFmtId="166" fontId="10" fillId="0" borderId="16" xfId="12" applyBorder="1">
      <alignment horizontal="right" vertical="center"/>
    </xf>
    <xf numFmtId="3" fontId="9" fillId="2" borderId="13" xfId="14" applyBorder="1">
      <alignment horizontal="left" vertical="center" indent="1"/>
    </xf>
    <xf numFmtId="0" fontId="9" fillId="34" borderId="11" xfId="5" applyFill="1" applyBorder="1" applyAlignment="1">
      <alignment horizontal="center" vertical="center" wrapText="1"/>
    </xf>
    <xf numFmtId="3" fontId="0" fillId="0" borderId="0" xfId="0" applyNumberFormat="1" applyAlignment="1">
      <alignment horizontal="center" vertical="center"/>
    </xf>
    <xf numFmtId="0" fontId="9" fillId="0" borderId="11" xfId="5" applyBorder="1" applyAlignment="1">
      <alignment horizontal="center" vertical="center" wrapText="1"/>
    </xf>
    <xf numFmtId="16" fontId="0" fillId="0" borderId="0" xfId="0" applyNumberFormat="1" applyAlignment="1">
      <alignment horizontal="center" vertical="center"/>
    </xf>
    <xf numFmtId="0" fontId="32" fillId="0" borderId="0" xfId="5" applyFont="1" applyBorder="1">
      <alignment horizontal="left" vertical="center" wrapText="1" indent="1"/>
    </xf>
    <xf numFmtId="0" fontId="33" fillId="0" borderId="0" xfId="0" applyFont="1" applyAlignment="1">
      <alignment vertical="center" wrapText="1"/>
    </xf>
    <xf numFmtId="14" fontId="8" fillId="0" borderId="0" xfId="8">
      <alignment horizontal="right" vertical="center" indent="2"/>
    </xf>
    <xf numFmtId="0" fontId="34" fillId="0" borderId="0" xfId="54" applyAlignment="1">
      <alignment horizontal="center" vertical="center" wrapText="1"/>
    </xf>
    <xf numFmtId="0" fontId="0" fillId="0" borderId="0" xfId="0" applyAlignment="1">
      <alignment vertical="center" wrapText="1"/>
    </xf>
    <xf numFmtId="1" fontId="5" fillId="0" borderId="0" xfId="9" applyNumberFormat="1" applyAlignment="1" applyProtection="1">
      <alignment vertical="center"/>
    </xf>
    <xf numFmtId="1" fontId="0" fillId="0" borderId="0" xfId="0" applyNumberFormat="1">
      <alignment vertical="center"/>
    </xf>
    <xf numFmtId="1" fontId="23" fillId="33" borderId="0" xfId="6" applyNumberFormat="1" applyFont="1" applyFill="1" applyBorder="1">
      <alignment horizontal="left" vertical="center" wrapText="1" indent="1"/>
    </xf>
    <xf numFmtId="1" fontId="9" fillId="0" borderId="0" xfId="5" applyNumberFormat="1" applyBorder="1">
      <alignment horizontal="left" vertical="center" wrapText="1" indent="1"/>
    </xf>
    <xf numFmtId="1" fontId="9" fillId="0" borderId="0" xfId="5" applyNumberFormat="1" applyProtection="1">
      <alignment horizontal="left" vertical="center" wrapText="1" indent="1"/>
    </xf>
    <xf numFmtId="1" fontId="0" fillId="0" borderId="0" xfId="0" applyNumberFormat="1" applyAlignment="1">
      <alignment horizontal="left" vertical="center"/>
    </xf>
    <xf numFmtId="14" fontId="8" fillId="0" borderId="0" xfId="8" applyAlignment="1" applyProtection="1">
      <alignment horizontal="left" vertical="center"/>
    </xf>
    <xf numFmtId="3" fontId="9" fillId="2" borderId="6" xfId="15" applyAlignment="1">
      <alignment horizontal="left" vertical="center"/>
    </xf>
    <xf numFmtId="14" fontId="8" fillId="0" borderId="5" xfId="13" applyAlignment="1">
      <alignment horizontal="left" vertical="center"/>
    </xf>
    <xf numFmtId="166" fontId="10" fillId="0" borderId="4" xfId="12" applyAlignment="1">
      <alignment horizontal="left" vertical="center"/>
    </xf>
    <xf numFmtId="3" fontId="9" fillId="2" borderId="0" xfId="14" applyAlignment="1">
      <alignment horizontal="left" vertical="center"/>
    </xf>
    <xf numFmtId="14" fontId="8" fillId="0" borderId="0" xfId="8" applyBorder="1" applyAlignment="1">
      <alignment horizontal="left" vertical="center"/>
    </xf>
    <xf numFmtId="3" fontId="9" fillId="2" borderId="0" xfId="14" applyBorder="1" applyAlignment="1">
      <alignment horizontal="left" vertical="center"/>
    </xf>
    <xf numFmtId="0" fontId="9" fillId="0" borderId="17" xfId="5" applyBorder="1" applyAlignment="1">
      <alignment horizontal="left" vertical="center" wrapText="1"/>
    </xf>
    <xf numFmtId="14" fontId="8" fillId="0" borderId="17" xfId="8" applyBorder="1" applyAlignment="1">
      <alignment horizontal="left" vertical="center"/>
    </xf>
    <xf numFmtId="14" fontId="8" fillId="0" borderId="18" xfId="13" applyBorder="1" applyAlignment="1">
      <alignment horizontal="left" vertical="center"/>
    </xf>
    <xf numFmtId="166" fontId="10" fillId="0" borderId="19" xfId="12" applyBorder="1" applyAlignment="1">
      <alignment horizontal="left" vertical="center"/>
    </xf>
    <xf numFmtId="3" fontId="9" fillId="2" borderId="17" xfId="14" applyBorder="1" applyAlignment="1">
      <alignment horizontal="left" vertical="center"/>
    </xf>
    <xf numFmtId="1" fontId="0" fillId="0" borderId="0" xfId="0" applyNumberFormat="1" applyAlignment="1">
      <alignment horizontal="center" vertical="center"/>
    </xf>
    <xf numFmtId="3" fontId="32" fillId="0" borderId="0" xfId="5" applyNumberFormat="1" applyFont="1" applyBorder="1">
      <alignment horizontal="left" vertical="center" wrapText="1" indent="1"/>
    </xf>
    <xf numFmtId="0" fontId="32" fillId="0" borderId="0" xfId="0" applyFont="1">
      <alignment vertical="center"/>
    </xf>
    <xf numFmtId="0" fontId="32" fillId="0" borderId="0" xfId="54" applyFont="1">
      <alignment vertical="center"/>
    </xf>
    <xf numFmtId="3" fontId="9" fillId="0" borderId="17" xfId="5" applyNumberFormat="1" applyBorder="1" applyAlignment="1">
      <alignment horizontal="left" vertical="center" wrapText="1"/>
    </xf>
    <xf numFmtId="0" fontId="0" fillId="0" borderId="0" xfId="0" applyAlignment="1">
      <alignment horizontal="left" vertical="center" wrapText="1"/>
    </xf>
    <xf numFmtId="14" fontId="0" fillId="0" borderId="0" xfId="8" applyFont="1" applyAlignment="1" applyProtection="1">
      <alignment horizontal="center" vertical="center"/>
    </xf>
    <xf numFmtId="0" fontId="28" fillId="0" borderId="0" xfId="9" applyFont="1" applyAlignment="1" applyProtection="1">
      <alignment horizontal="center" vertical="center"/>
    </xf>
    <xf numFmtId="0" fontId="30" fillId="0" borderId="0" xfId="9" applyFont="1" applyAlignment="1" applyProtection="1">
      <alignment horizontal="center" vertical="center"/>
    </xf>
    <xf numFmtId="0" fontId="0" fillId="0" borderId="0" xfId="0" applyAlignment="1">
      <alignment horizontal="center" vertical="center"/>
    </xf>
    <xf numFmtId="0" fontId="0" fillId="0" borderId="12" xfId="0" applyBorder="1" applyAlignment="1">
      <alignment horizontal="center" vertical="center"/>
    </xf>
  </cellXfs>
  <cellStyles count="55">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21" builtinId="26" customBuiltin="1"/>
    <cellStyle name="Cálculo" xfId="24" builtinId="22" customBuiltin="1"/>
    <cellStyle name="Célula de Verificação" xfId="26" builtinId="23" customBuiltin="1"/>
    <cellStyle name="Célula Vinculada" xfId="25" builtinId="24" customBuiltin="1"/>
    <cellStyle name="Coluna cinza" xfId="14" xr:uid="{00000000-0005-0000-0000-000016000000}"/>
    <cellStyle name="Data" xfId="8" xr:uid="{00000000-0005-0000-0000-000017000000}"/>
    <cellStyle name="Duração estimada" xfId="15" xr:uid="{00000000-0005-0000-0000-000018000000}"/>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 builtinId="20" customBuiltin="1"/>
    <cellStyle name="Hiperlink" xfId="54" builtinId="8"/>
    <cellStyle name="Início Real" xfId="13" xr:uid="{00000000-0005-0000-0000-000021000000}"/>
    <cellStyle name="Moeda" xfId="18" builtinId="4" customBuiltin="1"/>
    <cellStyle name="Moeda [0]" xfId="19" builtinId="7" customBuiltin="1"/>
    <cellStyle name="Neutro" xfId="23" builtinId="28" customBuiltin="1"/>
    <cellStyle name="Normal" xfId="0" builtinId="0" customBuiltin="1"/>
    <cellStyle name="Nota" xfId="7" builtinId="10" customBuiltin="1"/>
    <cellStyle name="Números" xfId="4" xr:uid="{00000000-0005-0000-0000-000027000000}"/>
    <cellStyle name="Porcentagem" xfId="20" builtinId="5" customBuiltin="1"/>
    <cellStyle name="Ruim" xfId="22" builtinId="27" customBuiltin="1"/>
    <cellStyle name="Saída" xfId="3" builtinId="21" customBuiltin="1"/>
    <cellStyle name="Separador de milhares [0]" xfId="17" builtinId="6" customBuiltin="1"/>
    <cellStyle name="Sinalizador" xfId="12" xr:uid="{00000000-0005-0000-0000-00002B000000}"/>
    <cellStyle name="Texto" xfId="5" xr:uid="{00000000-0005-0000-0000-00002C000000}"/>
    <cellStyle name="Texto de Aviso" xfId="27" builtinId="11" customBuiltin="1"/>
    <cellStyle name="Texto Explicativo" xfId="28" builtinId="53" customBuiltin="1"/>
    <cellStyle name="Título" xfId="9" builtinId="15" customBuiltin="1"/>
    <cellStyle name="Título 1" xfId="1" builtinId="16" customBuiltin="1"/>
    <cellStyle name="Título 2" xfId="6" builtinId="17" customBuiltin="1"/>
    <cellStyle name="Título 3" xfId="10" builtinId="18" customBuiltin="1"/>
    <cellStyle name="Título 4" xfId="11" builtinId="19" customBuiltin="1"/>
    <cellStyle name="Total" xfId="29" builtinId="25" customBuiltin="1"/>
    <cellStyle name="Vírgula" xfId="16" builtinId="3" customBuiltin="1"/>
  </cellStyles>
  <dxfs count="280">
    <dxf>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3" formatCode="#,##0"/>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3" formatCode="#,##0"/>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alignment horizontal="center" vertical="bottom" textRotation="0" wrapText="1" indent="0" justifyLastLine="0" shrinkToFit="0" readingOrder="0"/>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numFmt numFmtId="0" formatCode="General"/>
    </dxf>
    <dxf>
      <numFmt numFmtId="166" formatCode="&quot;Sinalizador acima/abaixo&quot;;&quot;&quot;;&quot;&quot;"/>
    </dxf>
    <dxf>
      <alignment horizontal="center" vertical="center" textRotation="0" indent="0" justifyLastLine="0" shrinkToFit="0" readingOrder="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numFmt numFmtId="0" formatCode="General"/>
    </dxf>
    <dxf>
      <numFmt numFmtId="166" formatCode="&quot;Sinalizador acima/abaixo&quot;;&quot;&quot;;&quot;&quot;"/>
    </dxf>
    <dxf>
      <numFmt numFmtId="3" formatCode="#,##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numFmt numFmtId="0" formatCode="General"/>
    </dxf>
    <dxf>
      <numFmt numFmtId="166" formatCode="&quot;Sinalizador acima/abaixo&quot;;&quot;&quot;;&quot;&quot;"/>
    </dxf>
    <dxf>
      <alignment horizontal="center" vertical="center" textRotation="0" indent="0" justifyLastLine="0" shrinkToFit="0" readingOrder="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numFmt numFmtId="0" formatCode="General"/>
    </dxf>
    <dxf>
      <numFmt numFmtId="166" formatCode="&quot;Sinalizador acima/abaixo&quot;;&quot;&quot;;&quot;&quot;"/>
    </dxf>
    <dxf>
      <alignment horizontal="center" vertical="center" textRotation="0" indent="0" justifyLastLine="0" shrinkToFit="0" readingOrder="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numFmt numFmtId="0" formatCode="General"/>
    </dxf>
    <dxf>
      <numFmt numFmtId="166" formatCode="&quot;Sinalizador acima/abaixo&quot;;&quot;&quot;;&quot;&quot;"/>
    </dxf>
    <dxf>
      <alignment horizontal="center" vertical="center" textRotation="0" indent="0" justifyLastLine="0" shrinkToFit="0" readingOrder="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numFmt numFmtId="0" formatCode="General"/>
    </dxf>
    <dxf>
      <numFmt numFmtId="166" formatCode="&quot;Sinalizador acima/abaixo&quot;;&quot;&quot;;&quot;&quot;"/>
    </dxf>
    <dxf>
      <alignment horizontal="center" vertical="center" textRotation="0" indent="0" justifyLastLine="0" shrinkToFit="0" readingOrder="0"/>
    </dxf>
    <dxf>
      <numFmt numFmtId="1" formatCode="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numFmt numFmtId="0" formatCode="General"/>
    </dxf>
    <dxf>
      <numFmt numFmtId="166" formatCode="&quot;Sinalizador acima/abaixo&quot;;&quot;&quot;;&quot;&quot;"/>
    </dxf>
    <dxf>
      <alignment horizontal="center" vertical="center" textRotation="0" indent="0" justifyLastLine="0" shrinkToFit="0" readingOrder="0"/>
    </dxf>
    <dxf>
      <alignment horizontal="left" vertical="center" textRotation="0" justifyLastLine="0" shrinkToFit="0" readingOrder="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numFmt numFmtId="0" formatCode="General"/>
    </dxf>
    <dxf>
      <numFmt numFmtId="166" formatCode="&quot;Sinalizador acima/abaixo&quot;;&quot;&quot;;&quot;&quot;"/>
    </dxf>
    <dxf>
      <alignment horizontal="center" vertical="center" textRotation="0" indent="0" justifyLastLine="0" shrinkToFit="0" readingOrder="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numFmt numFmtId="0" formatCode="General"/>
    </dxf>
    <dxf>
      <numFmt numFmtId="166" formatCode="&quot;Sinalizador acima/abaixo&quot;;&quot;&quot;;&quot;&quot;"/>
    </dxf>
    <dxf>
      <alignment horizontal="center" vertical="center" textRotation="0" indent="0" justifyLastLine="0" shrinkToFit="0" readingOrder="0"/>
    </dxf>
    <dxf>
      <numFmt numFmtId="1" formatCode="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numFmt numFmtId="0" formatCode="General"/>
    </dxf>
    <dxf>
      <numFmt numFmtId="166" formatCode="&quot;Sinalizador acima/abaixo&quot;;&quot;&quot;;&quot;&quot;"/>
    </dxf>
    <dxf>
      <alignment horizontal="center" vertical="center" textRotation="0" indent="0" justifyLastLine="0" shrinkToFit="0" readingOrder="0"/>
    </dxf>
    <dxf>
      <numFmt numFmtId="1" formatCode="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numFmt numFmtId="0" formatCode="General"/>
    </dxf>
    <dxf>
      <numFmt numFmtId="166" formatCode="&quot;Sinalizador acima/abaixo&quot;;&quot;&quot;;&quot;&quot;"/>
    </dxf>
    <dxf>
      <alignment horizontal="center" vertical="center" textRotation="0" indent="0" justifyLastLine="0" shrinkToFit="0" readingOrder="0"/>
    </dxf>
    <dxf>
      <numFmt numFmtId="1" formatCode="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3" formatCode="#,##0"/>
      <alignment horizontal="center" vertical="center" textRotation="0" indent="0" justifyLastLine="0" shrinkToFit="0" readingOrder="0"/>
    </dxf>
    <dxf>
      <numFmt numFmtId="166" formatCode="&quot;Sinalizador acima/abaixo&quot;;&quot;&quot;;&quot;&quot;"/>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b/>
        <i val="0"/>
        <color theme="4" tint="-0.499984740745262"/>
      </font>
    </dxf>
    <dxf>
      <font>
        <color theme="9" tint="-0.499984740745262"/>
      </font>
      <fill>
        <patternFill>
          <bgColor theme="6" tint="0.39994506668294322"/>
        </patternFill>
      </fill>
    </dxf>
    <dxf>
      <font>
        <color theme="9" tint="-0.499984740745262"/>
      </font>
      <fill>
        <patternFill>
          <bgColor theme="6" tint="0.39994506668294322"/>
        </patternFill>
      </fill>
    </dxf>
    <dxf>
      <font>
        <color theme="9" tint="-0.499984740745262"/>
      </font>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3" formatCode="#,##0"/>
      <alignment horizontal="center" vertical="center" textRotation="0" indent="0" justifyLastLine="0" shrinkToFit="0" readingOrder="0"/>
    </dxf>
    <dxf>
      <numFmt numFmtId="166" formatCode="&quot;Sinalizador acima/abaixo&quot;;&quot;&quot;;&quot;&quot;"/>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center" vertical="center" textRotation="0" indent="0" justifyLastLine="0" shrinkToFit="0" readingOrder="0"/>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b/>
        <i val="0"/>
        <color theme="4" tint="-0.499984740745262"/>
      </font>
    </dxf>
    <dxf>
      <font>
        <color theme="9" tint="-0.499984740745262"/>
      </font>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numFmt numFmtId="0" formatCode="General"/>
    </dxf>
    <dxf>
      <numFmt numFmtId="166" formatCode="&quot;Sinalizador acima/abaixo&quot;;&quot;&quot;;&quot;&quot;"/>
    </dxf>
    <dxf>
      <border outline="0">
        <bottom style="thin">
          <color theme="9"/>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0" formatCode="General"/>
    </dxf>
    <dxf>
      <numFmt numFmtId="166" formatCode="&quot;Sinalizador acima/abaixo&quot;;&quot;&quot;;&quot;&quot;"/>
    </dxf>
    <dxf>
      <border outline="0">
        <bottom style="thin">
          <color rgb="FFF8943F"/>
        </bottom>
      </border>
    </dxf>
    <dxf>
      <font>
        <strike val="0"/>
        <outline val="0"/>
        <shadow val="0"/>
        <u val="none"/>
        <vertAlign val="baseline"/>
        <sz val="11"/>
        <color theme="0"/>
        <name val="Century Gothic"/>
        <scheme val="minor"/>
      </font>
      <fill>
        <patternFill patternType="solid">
          <fgColor indexed="64"/>
          <bgColor rgb="FF00233D"/>
        </patternFill>
      </fill>
    </dxf>
    <dxf>
      <font>
        <b/>
        <i val="0"/>
        <color theme="4" tint="-0.499984740745262"/>
      </font>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strike val="0"/>
        <outline val="0"/>
        <shadow val="0"/>
        <u val="none"/>
        <vertAlign val="baseline"/>
        <sz val="11"/>
        <color theme="0"/>
        <name val="Century Gothic"/>
        <scheme val="minor"/>
      </font>
      <fill>
        <patternFill patternType="solid">
          <fgColor indexed="64"/>
          <bgColor rgb="FF00233D"/>
        </patternFill>
      </fill>
    </dxf>
    <dxf>
      <font>
        <b/>
        <i val="0"/>
        <color theme="2" tint="-0.89996032593768116"/>
      </font>
      <fill>
        <patternFill>
          <bgColor theme="9"/>
        </patternFill>
      </fill>
      <border>
        <bottom/>
      </border>
    </dxf>
    <dxf>
      <font>
        <b val="0"/>
        <i val="0"/>
        <color theme="2" tint="-0.749961851863155"/>
      </font>
      <border>
        <bottom style="thin">
          <color theme="9"/>
        </bottom>
        <horizontal style="thin">
          <color theme="3" tint="0.59996337778862885"/>
        </horizontal>
      </border>
    </dxf>
  </dxfs>
  <tableStyles count="1" defaultPivotStyle="PivotStyleMedium2">
    <tableStyle name="Estilo de Tabela Personalizado" pivot="0" count="2" xr9:uid="{00000000-0011-0000-FFFF-FFFF00000000}">
      <tableStyleElement type="wholeTable" dxfId="279"/>
      <tableStyleElement type="headerRow" dxfId="278"/>
    </tableStyle>
  </tableStyles>
  <colors>
    <mruColors>
      <color rgb="FF00233D"/>
      <color rgb="FF8D959E"/>
    </mruColors>
  </color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Controlador de projetos'!A1"/></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Configura&#231;&#227;o'!A1"/></Relationships>
</file>

<file path=xl/drawings/_rels/drawing5.xml.rels><?xml version="1.0" encoding="UTF-8" standalone="yes"?>
<Relationships xmlns="http://schemas.openxmlformats.org/package/2006/relationships"><Relationship Id="rId1" Type="http://schemas.openxmlformats.org/officeDocument/2006/relationships/hyperlink" Target="#'Configura&#231;&#227;o'!A1"/></Relationships>
</file>

<file path=xl/drawings/_rels/drawing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Configura&#231;&#227;o'!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figura&#231;&#227;o'!A1"/></Relationships>
</file>

<file path=xl/drawings/drawing1.xml><?xml version="1.0" encoding="utf-8"?>
<xdr:wsDr xmlns:xdr="http://schemas.openxmlformats.org/drawingml/2006/spreadsheetDrawing" xmlns:a="http://schemas.openxmlformats.org/drawingml/2006/main">
  <xdr:twoCellAnchor editAs="oneCell">
    <xdr:from>
      <xdr:col>1</xdr:col>
      <xdr:colOff>6673</xdr:colOff>
      <xdr:row>0</xdr:row>
      <xdr:rowOff>814071</xdr:rowOff>
    </xdr:from>
    <xdr:to>
      <xdr:col>1</xdr:col>
      <xdr:colOff>1307968</xdr:colOff>
      <xdr:row>2</xdr:row>
      <xdr:rowOff>10160</xdr:rowOff>
    </xdr:to>
    <xdr:sp macro="" textlink="">
      <xdr:nvSpPr>
        <xdr:cNvPr id="3" name="Botão de Projetos" descr="Botão de navegação de Projetos. Clique para exibir a planilha Projetos." title="Botão de Navegação – Projetos">
          <a:hlinkClick xmlns:r="http://schemas.openxmlformats.org/officeDocument/2006/relationships" r:id="rId1" tooltip="Clique para exibir Projetos"/>
          <a:extLst>
            <a:ext uri="{FF2B5EF4-FFF2-40B4-BE49-F238E27FC236}">
              <a16:creationId xmlns:a16="http://schemas.microsoft.com/office/drawing/2014/main" id="{00000000-0008-0000-0700-000003000000}"/>
            </a:ext>
          </a:extLst>
        </xdr:cNvPr>
        <xdr:cNvSpPr txBox="1">
          <a:spLocks/>
        </xdr:cNvSpPr>
      </xdr:nvSpPr>
      <xdr:spPr>
        <a:xfrm>
          <a:off x="204793" y="814071"/>
          <a:ext cx="1301295" cy="270509"/>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PROJETOS</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1</xdr:col>
      <xdr:colOff>465</xdr:colOff>
      <xdr:row>1</xdr:row>
      <xdr:rowOff>227331</xdr:rowOff>
    </xdr:from>
    <xdr:to>
      <xdr:col>1</xdr:col>
      <xdr:colOff>1739900</xdr:colOff>
      <xdr:row>2</xdr:row>
      <xdr:rowOff>236220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00000000-0008-0000-0200-000002000000}"/>
            </a:ext>
          </a:extLst>
        </xdr:cNvPr>
        <xdr:cNvSpPr txBox="1">
          <a:spLocks/>
        </xdr:cNvSpPr>
      </xdr:nvSpPr>
      <xdr:spPr>
        <a:xfrm>
          <a:off x="53805" y="1050291"/>
          <a:ext cx="1739435" cy="260349"/>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12</xdr:col>
      <xdr:colOff>381846</xdr:colOff>
      <xdr:row>0</xdr:row>
      <xdr:rowOff>76571</xdr:rowOff>
    </xdr:from>
    <xdr:to>
      <xdr:col>13</xdr:col>
      <xdr:colOff>297180</xdr:colOff>
      <xdr:row>2</xdr:row>
      <xdr:rowOff>168011</xdr:rowOff>
    </xdr:to>
    <xdr:pic>
      <xdr:nvPicPr>
        <xdr:cNvPr id="3" name="Imagem 2" descr="Logotipo, nome da empresa&#10;&#10;Descrição gerada automaticamente">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62566" y="76571"/>
          <a:ext cx="2064174" cy="11658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465</xdr:colOff>
      <xdr:row>1</xdr:row>
      <xdr:rowOff>227331</xdr:rowOff>
    </xdr:from>
    <xdr:to>
      <xdr:col>1</xdr:col>
      <xdr:colOff>1739900</xdr:colOff>
      <xdr:row>2</xdr:row>
      <xdr:rowOff>236220</xdr:rowOff>
    </xdr:to>
    <xdr:sp macro="" textlink="">
      <xdr:nvSpPr>
        <xdr:cNvPr id="3"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00000000-0008-0000-0000-000003000000}"/>
            </a:ext>
          </a:extLst>
        </xdr:cNvPr>
        <xdr:cNvSpPr txBox="1">
          <a:spLocks/>
        </xdr:cNvSpPr>
      </xdr:nvSpPr>
      <xdr:spPr>
        <a:xfrm>
          <a:off x="198585" y="1050291"/>
          <a:ext cx="1736895" cy="260349"/>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12</xdr:col>
      <xdr:colOff>381846</xdr:colOff>
      <xdr:row>0</xdr:row>
      <xdr:rowOff>76571</xdr:rowOff>
    </xdr:from>
    <xdr:to>
      <xdr:col>13</xdr:col>
      <xdr:colOff>297180</xdr:colOff>
      <xdr:row>2</xdr:row>
      <xdr:rowOff>168011</xdr:rowOff>
    </xdr:to>
    <xdr:pic>
      <xdr:nvPicPr>
        <xdr:cNvPr id="4" name="Imagem 3" descr="Logotipo, nome da empresa&#10;&#10;Descrição gerada automaticament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50713" y="76571"/>
          <a:ext cx="2065867" cy="11667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1</xdr:col>
      <xdr:colOff>969794</xdr:colOff>
      <xdr:row>2</xdr:row>
      <xdr:rowOff>98411</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00000000-0008-0000-0100-000002000000}"/>
            </a:ext>
          </a:extLst>
        </xdr:cNvPr>
        <xdr:cNvSpPr txBox="1">
          <a:spLocks/>
        </xdr:cNvSpPr>
      </xdr:nvSpPr>
      <xdr:spPr>
        <a:xfrm>
          <a:off x="53805" y="1050291"/>
          <a:ext cx="1739435" cy="260349"/>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316995</xdr:colOff>
      <xdr:row>0</xdr:row>
      <xdr:rowOff>1</xdr:rowOff>
    </xdr:from>
    <xdr:to>
      <xdr:col>11</xdr:col>
      <xdr:colOff>1913107</xdr:colOff>
      <xdr:row>2</xdr:row>
      <xdr:rowOff>160714</xdr:rowOff>
    </xdr:to>
    <xdr:pic>
      <xdr:nvPicPr>
        <xdr:cNvPr id="3" name="Imagem 2" descr="Logotipo, nome da empresa&#10;&#10;Descrição gerada automaticamente">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513548" y="1"/>
          <a:ext cx="1596112" cy="8983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1</xdr:col>
      <xdr:colOff>969794</xdr:colOff>
      <xdr:row>2</xdr:row>
      <xdr:rowOff>220331</xdr:rowOff>
    </xdr:to>
    <xdr:sp macro="" textlink="">
      <xdr:nvSpPr>
        <xdr:cNvPr id="18"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B295DA25-00D1-4F18-A570-437A95B6CF7F}"/>
            </a:ext>
          </a:extLst>
        </xdr:cNvPr>
        <xdr:cNvSpPr txBox="1">
          <a:spLocks/>
        </xdr:cNvSpPr>
      </xdr:nvSpPr>
      <xdr:spPr>
        <a:xfrm>
          <a:off x="465" y="577851"/>
          <a:ext cx="1738949" cy="259700"/>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1</xdr:col>
      <xdr:colOff>1033656</xdr:colOff>
      <xdr:row>2</xdr:row>
      <xdr:rowOff>97072</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00000000-0008-0000-0400-000002000000}"/>
            </a:ext>
          </a:extLst>
        </xdr:cNvPr>
        <xdr:cNvSpPr txBox="1">
          <a:spLocks/>
        </xdr:cNvSpPr>
      </xdr:nvSpPr>
      <xdr:spPr>
        <a:xfrm>
          <a:off x="53805" y="822960"/>
          <a:ext cx="1739435" cy="260349"/>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12</xdr:col>
      <xdr:colOff>534245</xdr:colOff>
      <xdr:row>0</xdr:row>
      <xdr:rowOff>0</xdr:rowOff>
    </xdr:from>
    <xdr:to>
      <xdr:col>13</xdr:col>
      <xdr:colOff>669235</xdr:colOff>
      <xdr:row>2</xdr:row>
      <xdr:rowOff>137683</xdr:rowOff>
    </xdr:to>
    <xdr:pic>
      <xdr:nvPicPr>
        <xdr:cNvPr id="3" name="Imagem 2" descr="Logotipo, nome da empresa&#10;&#10;Descrição gerada automaticamente">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058628" y="0"/>
          <a:ext cx="1592728" cy="8996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0</xdr:col>
      <xdr:colOff>1739900</xdr:colOff>
      <xdr:row>2</xdr:row>
      <xdr:rowOff>236220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314C8E40-01A7-47E8-9FEC-3DF0ECC5D516}"/>
            </a:ext>
          </a:extLst>
        </xdr:cNvPr>
        <xdr:cNvSpPr txBox="1">
          <a:spLocks/>
        </xdr:cNvSpPr>
      </xdr:nvSpPr>
      <xdr:spPr>
        <a:xfrm>
          <a:off x="465" y="1046481"/>
          <a:ext cx="1739435" cy="266064"/>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12</xdr:col>
      <xdr:colOff>297182</xdr:colOff>
      <xdr:row>2</xdr:row>
      <xdr:rowOff>168011</xdr:rowOff>
    </xdr:to>
    <xdr:pic>
      <xdr:nvPicPr>
        <xdr:cNvPr id="3" name="Imagem 2" descr="Logotipo, nome da empresa&#10;&#10;Descrição gerada automaticamente">
          <a:extLst>
            <a:ext uri="{FF2B5EF4-FFF2-40B4-BE49-F238E27FC236}">
              <a16:creationId xmlns:a16="http://schemas.microsoft.com/office/drawing/2014/main" id="{0C126FFA-DF1F-4348-92D8-D034AC0328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59896" y="76571"/>
          <a:ext cx="2067986" cy="116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0</xdr:col>
      <xdr:colOff>1739900</xdr:colOff>
      <xdr:row>2</xdr:row>
      <xdr:rowOff>236220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836C8D31-0F8E-4D84-AC63-5BBFCF8F31A6}"/>
            </a:ext>
          </a:extLst>
        </xdr:cNvPr>
        <xdr:cNvSpPr txBox="1">
          <a:spLocks/>
        </xdr:cNvSpPr>
      </xdr:nvSpPr>
      <xdr:spPr>
        <a:xfrm>
          <a:off x="465" y="1046481"/>
          <a:ext cx="1739435" cy="266064"/>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12</xdr:col>
      <xdr:colOff>297182</xdr:colOff>
      <xdr:row>2</xdr:row>
      <xdr:rowOff>168011</xdr:rowOff>
    </xdr:to>
    <xdr:pic>
      <xdr:nvPicPr>
        <xdr:cNvPr id="3" name="Imagem 2" descr="Logotipo, nome da empresa&#10;&#10;Descrição gerada automaticamente">
          <a:extLst>
            <a:ext uri="{FF2B5EF4-FFF2-40B4-BE49-F238E27FC236}">
              <a16:creationId xmlns:a16="http://schemas.microsoft.com/office/drawing/2014/main" id="{EED3BF9F-11A5-4BF2-A2D3-9ECC4A31D5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75482" y="76571"/>
          <a:ext cx="2071450" cy="117382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0</xdr:col>
      <xdr:colOff>1739900</xdr:colOff>
      <xdr:row>2</xdr:row>
      <xdr:rowOff>236220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FEECABD7-307E-4D86-AE59-673F95BFE70F}"/>
            </a:ext>
          </a:extLst>
        </xdr:cNvPr>
        <xdr:cNvSpPr txBox="1">
          <a:spLocks/>
        </xdr:cNvSpPr>
      </xdr:nvSpPr>
      <xdr:spPr>
        <a:xfrm>
          <a:off x="465" y="1046481"/>
          <a:ext cx="1739435" cy="266064"/>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12</xdr:col>
      <xdr:colOff>297182</xdr:colOff>
      <xdr:row>2</xdr:row>
      <xdr:rowOff>168011</xdr:rowOff>
    </xdr:to>
    <xdr:pic>
      <xdr:nvPicPr>
        <xdr:cNvPr id="3" name="Imagem 2" descr="Logotipo, nome da empresa&#10;&#10;Descrição gerada automaticamente">
          <a:extLst>
            <a:ext uri="{FF2B5EF4-FFF2-40B4-BE49-F238E27FC236}">
              <a16:creationId xmlns:a16="http://schemas.microsoft.com/office/drawing/2014/main" id="{8A8D3420-4E22-4C92-90D6-2F74DD8F99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59896" y="76571"/>
          <a:ext cx="2067986" cy="116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0</xdr:col>
      <xdr:colOff>1739900</xdr:colOff>
      <xdr:row>2</xdr:row>
      <xdr:rowOff>236220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E671DE26-91E8-4607-BF83-848DBBC8A77C}"/>
            </a:ext>
          </a:extLst>
        </xdr:cNvPr>
        <xdr:cNvSpPr txBox="1">
          <a:spLocks/>
        </xdr:cNvSpPr>
      </xdr:nvSpPr>
      <xdr:spPr>
        <a:xfrm>
          <a:off x="465" y="1046481"/>
          <a:ext cx="1739435" cy="266064"/>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12</xdr:col>
      <xdr:colOff>297182</xdr:colOff>
      <xdr:row>2</xdr:row>
      <xdr:rowOff>168011</xdr:rowOff>
    </xdr:to>
    <xdr:pic>
      <xdr:nvPicPr>
        <xdr:cNvPr id="3" name="Imagem 2" descr="Logotipo, nome da empresa&#10;&#10;Descrição gerada automaticamente">
          <a:extLst>
            <a:ext uri="{FF2B5EF4-FFF2-40B4-BE49-F238E27FC236}">
              <a16:creationId xmlns:a16="http://schemas.microsoft.com/office/drawing/2014/main" id="{D785C561-27F9-4098-8124-C3EBA24FC6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783646" y="76571"/>
          <a:ext cx="2067986" cy="116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0</xdr:col>
      <xdr:colOff>1739900</xdr:colOff>
      <xdr:row>2</xdr:row>
      <xdr:rowOff>236220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E2129E46-96A2-4838-AF27-B55702592869}"/>
            </a:ext>
          </a:extLst>
        </xdr:cNvPr>
        <xdr:cNvSpPr txBox="1">
          <a:spLocks/>
        </xdr:cNvSpPr>
      </xdr:nvSpPr>
      <xdr:spPr>
        <a:xfrm>
          <a:off x="465" y="1046481"/>
          <a:ext cx="1739435" cy="266064"/>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12</xdr:col>
      <xdr:colOff>297182</xdr:colOff>
      <xdr:row>2</xdr:row>
      <xdr:rowOff>168011</xdr:rowOff>
    </xdr:to>
    <xdr:pic>
      <xdr:nvPicPr>
        <xdr:cNvPr id="3" name="Imagem 2" descr="Logotipo, nome da empresa&#10;&#10;Descrição gerada automaticamente">
          <a:extLst>
            <a:ext uri="{FF2B5EF4-FFF2-40B4-BE49-F238E27FC236}">
              <a16:creationId xmlns:a16="http://schemas.microsoft.com/office/drawing/2014/main" id="{B1E8A695-E747-401C-81B6-E8A4188048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469321" y="76571"/>
          <a:ext cx="2067985" cy="116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0</xdr:col>
      <xdr:colOff>1739900</xdr:colOff>
      <xdr:row>2</xdr:row>
      <xdr:rowOff>236220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B600E02D-1DC3-47BD-A61C-48D1114C92F7}"/>
            </a:ext>
          </a:extLst>
        </xdr:cNvPr>
        <xdr:cNvSpPr txBox="1">
          <a:spLocks/>
        </xdr:cNvSpPr>
      </xdr:nvSpPr>
      <xdr:spPr>
        <a:xfrm>
          <a:off x="465" y="1046481"/>
          <a:ext cx="1739435" cy="266064"/>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12</xdr:col>
      <xdr:colOff>297182</xdr:colOff>
      <xdr:row>2</xdr:row>
      <xdr:rowOff>168011</xdr:rowOff>
    </xdr:to>
    <xdr:pic>
      <xdr:nvPicPr>
        <xdr:cNvPr id="3" name="Imagem 2" descr="Logotipo, nome da empresa&#10;&#10;Descrição gerada automaticamente">
          <a:extLst>
            <a:ext uri="{FF2B5EF4-FFF2-40B4-BE49-F238E27FC236}">
              <a16:creationId xmlns:a16="http://schemas.microsoft.com/office/drawing/2014/main" id="{C8725326-616E-48A2-A132-2D5968E7FA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783646" y="76571"/>
          <a:ext cx="2067986" cy="116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0</xdr:col>
      <xdr:colOff>1739900</xdr:colOff>
      <xdr:row>2</xdr:row>
      <xdr:rowOff>236220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6EB5604C-EAD7-4254-94FE-D4339BEECF43}"/>
            </a:ext>
          </a:extLst>
        </xdr:cNvPr>
        <xdr:cNvSpPr txBox="1">
          <a:spLocks/>
        </xdr:cNvSpPr>
      </xdr:nvSpPr>
      <xdr:spPr>
        <a:xfrm>
          <a:off x="465" y="1046481"/>
          <a:ext cx="1739435" cy="266064"/>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12</xdr:col>
      <xdr:colOff>297182</xdr:colOff>
      <xdr:row>2</xdr:row>
      <xdr:rowOff>168011</xdr:rowOff>
    </xdr:to>
    <xdr:pic>
      <xdr:nvPicPr>
        <xdr:cNvPr id="3" name="Imagem 2" descr="Logotipo, nome da empresa&#10;&#10;Descrição gerada automaticamente">
          <a:extLst>
            <a:ext uri="{FF2B5EF4-FFF2-40B4-BE49-F238E27FC236}">
              <a16:creationId xmlns:a16="http://schemas.microsoft.com/office/drawing/2014/main" id="{3B9B23CF-2C5B-44B7-91BB-539E916415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783646" y="76571"/>
          <a:ext cx="2067986" cy="116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0</xdr:col>
      <xdr:colOff>1739900</xdr:colOff>
      <xdr:row>2</xdr:row>
      <xdr:rowOff>236220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C15C9A98-7B67-4C34-B022-5A98F86958FF}"/>
            </a:ext>
          </a:extLst>
        </xdr:cNvPr>
        <xdr:cNvSpPr txBox="1">
          <a:spLocks/>
        </xdr:cNvSpPr>
      </xdr:nvSpPr>
      <xdr:spPr>
        <a:xfrm>
          <a:off x="465" y="1046481"/>
          <a:ext cx="1739435" cy="266064"/>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12</xdr:col>
      <xdr:colOff>297182</xdr:colOff>
      <xdr:row>2</xdr:row>
      <xdr:rowOff>168011</xdr:rowOff>
    </xdr:to>
    <xdr:pic>
      <xdr:nvPicPr>
        <xdr:cNvPr id="3" name="Imagem 2" descr="Logotipo, nome da empresa&#10;&#10;Descrição gerada automaticamente">
          <a:extLst>
            <a:ext uri="{FF2B5EF4-FFF2-40B4-BE49-F238E27FC236}">
              <a16:creationId xmlns:a16="http://schemas.microsoft.com/office/drawing/2014/main" id="{848D3941-9B45-4F50-B5A6-E384315163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59896" y="76571"/>
          <a:ext cx="2067986" cy="116776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0</xdr:col>
      <xdr:colOff>1739900</xdr:colOff>
      <xdr:row>2</xdr:row>
      <xdr:rowOff>236220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3DD88D59-6035-49AB-BF52-330D8114324F}"/>
            </a:ext>
          </a:extLst>
        </xdr:cNvPr>
        <xdr:cNvSpPr txBox="1">
          <a:spLocks/>
        </xdr:cNvSpPr>
      </xdr:nvSpPr>
      <xdr:spPr>
        <a:xfrm>
          <a:off x="465" y="1046481"/>
          <a:ext cx="1739435" cy="266064"/>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12</xdr:col>
      <xdr:colOff>297182</xdr:colOff>
      <xdr:row>2</xdr:row>
      <xdr:rowOff>168011</xdr:rowOff>
    </xdr:to>
    <xdr:pic>
      <xdr:nvPicPr>
        <xdr:cNvPr id="3" name="Imagem 2" descr="Logotipo, nome da empresa&#10;&#10;Descrição gerada automaticamente">
          <a:extLst>
            <a:ext uri="{FF2B5EF4-FFF2-40B4-BE49-F238E27FC236}">
              <a16:creationId xmlns:a16="http://schemas.microsoft.com/office/drawing/2014/main" id="{49C6BD8E-089A-4FF2-8536-40E31962BE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59896" y="76571"/>
          <a:ext cx="2067986" cy="116776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1</xdr:col>
      <xdr:colOff>1206500</xdr:colOff>
      <xdr:row>3</xdr:row>
      <xdr:rowOff>8889</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00000000-0008-0000-0500-000002000000}"/>
            </a:ext>
          </a:extLst>
        </xdr:cNvPr>
        <xdr:cNvSpPr txBox="1">
          <a:spLocks/>
        </xdr:cNvSpPr>
      </xdr:nvSpPr>
      <xdr:spPr>
        <a:xfrm>
          <a:off x="57615" y="1046481"/>
          <a:ext cx="1739435" cy="266064"/>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12</xdr:col>
      <xdr:colOff>1330114</xdr:colOff>
      <xdr:row>3</xdr:row>
      <xdr:rowOff>168011</xdr:rowOff>
    </xdr:to>
    <xdr:pic>
      <xdr:nvPicPr>
        <xdr:cNvPr id="3" name="Imagem 2" descr="Logotipo, nome da empresa&#10;&#10;Descrição gerada automaticamente">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64471" y="76571"/>
          <a:ext cx="2067984" cy="116776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465</xdr:colOff>
      <xdr:row>1</xdr:row>
      <xdr:rowOff>227331</xdr:rowOff>
    </xdr:from>
    <xdr:to>
      <xdr:col>0</xdr:col>
      <xdr:colOff>1739900</xdr:colOff>
      <xdr:row>2</xdr:row>
      <xdr:rowOff>236220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00000000-0008-0000-0600-000002000000}"/>
            </a:ext>
          </a:extLst>
        </xdr:cNvPr>
        <xdr:cNvSpPr txBox="1">
          <a:spLocks/>
        </xdr:cNvSpPr>
      </xdr:nvSpPr>
      <xdr:spPr>
        <a:xfrm>
          <a:off x="57615" y="1046481"/>
          <a:ext cx="1739435" cy="266064"/>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12</xdr:col>
      <xdr:colOff>297182</xdr:colOff>
      <xdr:row>2</xdr:row>
      <xdr:rowOff>168011</xdr:rowOff>
    </xdr:to>
    <xdr:pic>
      <xdr:nvPicPr>
        <xdr:cNvPr id="3" name="Imagem 2" descr="Logotipo, nome da empresa&#10;&#10;Descrição gerada automaticamente">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64471" y="76571"/>
          <a:ext cx="2067984" cy="116776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465</xdr:colOff>
      <xdr:row>1</xdr:row>
      <xdr:rowOff>227331</xdr:rowOff>
    </xdr:from>
    <xdr:to>
      <xdr:col>2</xdr:col>
      <xdr:colOff>223520</xdr:colOff>
      <xdr:row>3</xdr:row>
      <xdr:rowOff>83820</xdr:rowOff>
    </xdr:to>
    <xdr:sp macro="" textlink="">
      <xdr:nvSpPr>
        <xdr:cNvPr id="2"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00000000-0008-0000-0300-000002000000}"/>
            </a:ext>
          </a:extLst>
        </xdr:cNvPr>
        <xdr:cNvSpPr txBox="1">
          <a:spLocks/>
        </xdr:cNvSpPr>
      </xdr:nvSpPr>
      <xdr:spPr>
        <a:xfrm>
          <a:off x="701505" y="1050291"/>
          <a:ext cx="1739435" cy="260349"/>
        </a:xfrm>
        <a:prstGeom prst="rect">
          <a:avLst/>
        </a:prstGeom>
        <a:solidFill>
          <a:srgbClr val="8D959E"/>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solidFill>
                <a:sysClr val="windowText" lastClr="000000"/>
              </a:solidFill>
              <a:latin typeface="Century Gothic" panose="020B0502020202020204" pitchFamily="34" charset="0"/>
            </a:rPr>
            <a:t>CONFIGURAÇÃO</a:t>
          </a:r>
        </a:p>
      </xdr:txBody>
    </xdr:sp>
    <xdr:clientData fPrintsWithSheet="0"/>
  </xdr:twoCellAnchor>
  <xdr:twoCellAnchor editAs="oneCell">
    <xdr:from>
      <xdr:col>11</xdr:col>
      <xdr:colOff>381846</xdr:colOff>
      <xdr:row>0</xdr:row>
      <xdr:rowOff>76571</xdr:rowOff>
    </xdr:from>
    <xdr:to>
      <xdr:col>11</xdr:col>
      <xdr:colOff>2495550</xdr:colOff>
      <xdr:row>2</xdr:row>
      <xdr:rowOff>243840</xdr:rowOff>
    </xdr:to>
    <xdr:pic>
      <xdr:nvPicPr>
        <xdr:cNvPr id="3" name="Imagem 2" descr="Logotipo, nome da empresa&#10;&#10;Descrição gerada automaticamente">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395026" y="76571"/>
          <a:ext cx="2109894" cy="1241689"/>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Logotipo, nome da empresa
Descrição gerada automaticamente</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Tabela_de_categorias_e_funcionários" displayName="Tabela_de_categorias_e_funcionários" ref="B4:D13" totalsRowShown="0" headerRowDxfId="277">
  <autoFilter ref="B4:D13" xr:uid="{00000000-0009-0000-0100-000003000000}"/>
  <tableColumns count="3">
    <tableColumn id="1" xr3:uid="{00000000-0010-0000-0700-000001000000}" name="Aprovações" dataCellStyle="Texto"/>
    <tableColumn id="2" xr3:uid="{00000000-0010-0000-0700-000002000000}" name="Nome do Funcionário" dataCellStyle="Texto"/>
    <tableColumn id="3" xr3:uid="{00000000-0010-0000-0700-000003000000}" name="Link" dataCellStyle="Texto"/>
  </tableColumns>
  <tableStyleInfo name="Estilo de Tabela Personalizado" showFirstColumn="0" showLastColumn="0" showRowStripes="1" showColumnStripes="0"/>
  <extLst>
    <ext xmlns:x14="http://schemas.microsoft.com/office/spreadsheetml/2009/9/main" uri="{504A1905-F514-4f6f-8877-14C23A59335A}">
      <x14:table altTextSummary="Lista de categorias e funcionários usados na lista de seleção suspensa de validação de dados Categoria e Funcionário na planilha Controlador de projeto. Use essas colunas para personalizar os itens em cada lista. As listas não precisam ter o mesmo número de iten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ControladorDeProjetos5" displayName="ControladorDeProjetos5" ref="B4:N21" totalsRowShown="0" headerRowDxfId="269" tableBorderDxfId="268">
  <autoFilter ref="B4:N21" xr:uid="{00000000-0009-0000-0100-000004000000}"/>
  <tableColumns count="13">
    <tableColumn id="1" xr3:uid="{00000000-0010-0000-0200-000001000000}" name="Projeto + Protocolo" dataCellStyle="Texto"/>
    <tableColumn id="10" xr3:uid="{00000000-0010-0000-0200-00000A000000}" name="Atividade" dataCellStyle="Texto"/>
    <tableColumn id="2" xr3:uid="{00000000-0010-0000-0200-000002000000}" name="Aprovações" dataCellStyle="Texto"/>
    <tableColumn id="3" xr3:uid="{00000000-0010-0000-0200-000003000000}" name="Atribuída a" dataCellStyle="Texto"/>
    <tableColumn id="4" xr3:uid="{00000000-0010-0000-0200-000004000000}" name="Estimado_x000a_Início" dataCellStyle="Data"/>
    <tableColumn id="5" xr3:uid="{00000000-0010-0000-0200-000005000000}" name="Estimado _x000a_Término" dataCellStyle="Data"/>
    <tableColumn id="7" xr3:uid="{00000000-0010-0000-0200-000007000000}" name="Duração Estimada (em dias)" dataCellStyle="Duração estimada">
      <calculatedColumnFormula>IF(COUNTA('Prot. TLD - Horizont'!$F5,'Prot. TLD - Horizont'!$G5)&lt;&gt;2,"",DAYS360('Prot. TLD - Horizont'!$F5,'Prot. TLD - Horizont'!$G5,FALSE))</calculatedColumnFormula>
    </tableColumn>
    <tableColumn id="8" xr3:uid="{00000000-0010-0000-0200-000008000000}" name="Real _x000a_Início" dataCellStyle="Início Real"/>
    <tableColumn id="9" xr3:uid="{00000000-0010-0000-0200-000009000000}" name="Real_x000a_Término" dataCellStyle="Data"/>
    <tableColumn id="14" xr3:uid="{00000000-0010-0000-0200-00000E000000}" name="Sinalizador para duração real acima/abaixo (em dias)S" dataDxfId="267" dataCellStyle="Sinalizador">
      <calculatedColumnFormula>IFERROR(IF(ControladorDeProjetos5[[#This Row],[Duração Real (em dias)]]=0,"",IF(ABS((ControladorDeProjetos5[[#This Row],[Duração Real (em dias)]]-ControladorDeProjetos5[[#This Row],[Duração Estimada (em dias)]])/ControladorDeProjetos5[[#This Row],[Duração Estimada (em dias)]])&gt;Sinalizador_Porcentagem,1,0)),"")</calculatedColumnFormula>
    </tableColumn>
    <tableColumn id="11" xr3:uid="{00000000-0010-0000-0200-00000B000000}" name="Duração Real (em dias)" dataCellStyle="Coluna cinza">
      <calculatedColumnFormula>IF(COUNTA('Prot. TLD - Horizont'!$I5,'Prot. TLD - Horizont'!$J5)&lt;&gt;2,"",DAYS360('Prot. TLD - Horizont'!$I5,'Prot. TLD - Horizont'!$J5,FALSE))</calculatedColumnFormula>
    </tableColumn>
    <tableColumn id="12" xr3:uid="{00000000-0010-0000-0200-00000C000000}" name="Anotações" dataDxfId="266" dataCellStyle="Texto"/>
    <tableColumn id="13" xr3:uid="{00000000-0010-0000-0200-00000D000000}"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roladorDeProjetos" displayName="ControladorDeProjetos" ref="B4:N8" totalsRowShown="0" headerRowDxfId="256" tableBorderDxfId="255">
  <autoFilter ref="B4:N8" xr:uid="{00000000-0009-0000-0100-000001000000}"/>
  <tableColumns count="13">
    <tableColumn id="1" xr3:uid="{00000000-0010-0000-0000-000001000000}" name="Projeto + Protocolo" dataCellStyle="Texto"/>
    <tableColumn id="10" xr3:uid="{00000000-0010-0000-0000-00000A000000}" name="Atividade" dataCellStyle="Texto"/>
    <tableColumn id="2" xr3:uid="{00000000-0010-0000-0000-000002000000}" name="Aprovações" dataCellStyle="Texto"/>
    <tableColumn id="3" xr3:uid="{00000000-0010-0000-0000-000003000000}" name="Atribuída a" dataCellStyle="Texto"/>
    <tableColumn id="4" xr3:uid="{00000000-0010-0000-0000-000004000000}" name="Estimado_x000a_Início" dataCellStyle="Data"/>
    <tableColumn id="5" xr3:uid="{00000000-0010-0000-0000-000005000000}" name="Estimado _x000a_Término" dataCellStyle="Data"/>
    <tableColumn id="7" xr3:uid="{00000000-0010-0000-0000-000007000000}" name="Duração Estimada (em dias)" dataCellStyle="Duração estimada">
      <calculatedColumnFormula>IF(COUNTA('Prot. TLD - Ducale'!$F5,'Prot. TLD - Ducale'!$G5)&lt;&gt;2,"",DAYS360('Prot. TLD - Ducale'!$F5,'Prot. TLD - Ducale'!$G5,FALSE))</calculatedColumnFormula>
    </tableColumn>
    <tableColumn id="8" xr3:uid="{00000000-0010-0000-0000-000008000000}" name="Real _x000a_Início" dataCellStyle="Início Real"/>
    <tableColumn id="9" xr3:uid="{00000000-0010-0000-0000-000009000000}" name="Real_x000a_Término" dataCellStyle="Data"/>
    <tableColumn id="14" xr3:uid="{00000000-0010-0000-0000-00000E000000}" name="Sinalizador para duração real acima/abaixo (em dias)S" dataDxfId="254" dataCellStyle="Sinalizador">
      <calculatedColumnFormula>IFERROR(IF(ControladorDeProjetos[[#This Row],[Duração Real (em dias)]]=0,"",IF(ABS((ControladorDeProjetos[[#This Row],[Duração Real (em dias)]]-ControladorDeProjetos[[#This Row],[Duração Estimada (em dias)]])/ControladorDeProjetos[[#This Row],[Duração Estimada (em dias)]])&gt;Sinalizador_Porcentagem,1,0)),"")</calculatedColumnFormula>
    </tableColumn>
    <tableColumn id="11" xr3:uid="{00000000-0010-0000-0000-00000B000000}" name="Duração Real (em dias)" dataCellStyle="Coluna cinza">
      <calculatedColumnFormula>IF(COUNTA('Prot. TLD - Ducale'!$I5,'Prot. TLD - Ducale'!$J5)&lt;&gt;2,"",DAYS360('Prot. TLD - Ducale'!$I5,'Prot. TLD - Ducale'!$J5,FALSE))</calculatedColumnFormula>
    </tableColumn>
    <tableColumn id="12" xr3:uid="{00000000-0010-0000-0000-00000C000000}" name="Anotações" dataDxfId="253" dataCellStyle="Texto"/>
    <tableColumn id="13" xr3:uid="{00000000-0010-0000-0000-00000D000000}"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ControladorDeProjetos38" displayName="ControladorDeProjetos38" ref="A4:N22" totalsRowShown="0" headerRowDxfId="243" tableBorderDxfId="242">
  <autoFilter ref="A4:N22" xr:uid="{00000000-0009-0000-0100-000007000000}"/>
  <tableColumns count="14">
    <tableColumn id="6" xr3:uid="{00000000-0010-0000-0100-000006000000}" name="Status" dataDxfId="241" dataCellStyle="Texto"/>
    <tableColumn id="1" xr3:uid="{00000000-0010-0000-0100-000001000000}" name="Projeto + Protocolo" dataDxfId="240" dataCellStyle="Texto"/>
    <tableColumn id="10" xr3:uid="{00000000-0010-0000-0100-00000A000000}" name="Atividade" dataDxfId="239" dataCellStyle="Texto"/>
    <tableColumn id="2" xr3:uid="{00000000-0010-0000-0100-000002000000}" name="Aprovações" dataDxfId="238" dataCellStyle="Texto"/>
    <tableColumn id="3" xr3:uid="{00000000-0010-0000-0100-000003000000}" name="Atribuída a" dataDxfId="237" dataCellStyle="Texto"/>
    <tableColumn id="4" xr3:uid="{00000000-0010-0000-0100-000004000000}" name="Estimado_x000a_Início" dataDxfId="236" dataCellStyle="Data"/>
    <tableColumn id="5" xr3:uid="{00000000-0010-0000-0100-000005000000}" name="Estimado _x000a_Término" dataDxfId="235" dataCellStyle="Data"/>
    <tableColumn id="7" xr3:uid="{00000000-0010-0000-0100-000007000000}" name="Duração Estimada (em dias)" dataDxfId="234" dataCellStyle="Duração estimada">
      <calculatedColumnFormula>IF(COUNTA('Prot. TLD - Villa Bella I'!$F5,'Prot. TLD - Villa Bella I'!$G5)&lt;&gt;2,"",DAYS360('Prot. TLD - Villa Bella I'!$F5,'Prot. TLD - Villa Bella I'!$G5,FALSE))</calculatedColumnFormula>
    </tableColumn>
    <tableColumn id="8" xr3:uid="{00000000-0010-0000-0100-000008000000}" name="Real _x000a_Início" dataDxfId="233" dataCellStyle="Início Real"/>
    <tableColumn id="9" xr3:uid="{00000000-0010-0000-0100-000009000000}" name="Real_x000a_Término" dataDxfId="232" dataCellStyle="Data"/>
    <tableColumn id="14" xr3:uid="{00000000-0010-0000-0100-00000E000000}" name="Sinalizador para duração real acima/abaixo (em dias)S" dataDxfId="231" dataCellStyle="Sinalizador">
      <calculatedColumnFormula>IFERROR(IF(ControladorDeProjetos38[[#This Row],[Duração Real (em dias)]]=0,"",IF(ABS((ControladorDeProjetos38[[#This Row],[Duração Real (em dias)]]-ControladorDeProjetos38[[#This Row],[Duração Estimada (em dias)]])/ControladorDeProjetos38[[#This Row],[Duração Estimada (em dias)]])&gt;Sinalizador_Porcentagem,1,0)),"")</calculatedColumnFormula>
    </tableColumn>
    <tableColumn id="11" xr3:uid="{00000000-0010-0000-0100-00000B000000}" name="Duração Real (em dias)" dataDxfId="230" dataCellStyle="Coluna cinza">
      <calculatedColumnFormula>ControladorDeProjetos38[[#This Row],[Real
Término]]-ControladorDeProjetos38[[#This Row],[Real 
Início]]</calculatedColumnFormula>
    </tableColumn>
    <tableColumn id="12" xr3:uid="{00000000-0010-0000-0100-00000C000000}" name="Anotações" dataDxfId="229" dataCellStyle="Texto"/>
    <tableColumn id="13" xr3:uid="{00000000-0010-0000-0100-00000D000000}" name="Situação" dataDxfId="228"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ControladorDeProjetos369" displayName="ControladorDeProjetos369" ref="A4:N17" totalsRowShown="0" headerRowDxfId="195" tableBorderDxfId="194">
  <autoFilter ref="A4:N17" xr:uid="{00000000-0009-0000-0100-000008000000}"/>
  <tableColumns count="14">
    <tableColumn id="27" xr3:uid="{00000000-0010-0000-0400-00001B000000}" name="Status" dataDxfId="193" dataCellStyle="Texto"/>
    <tableColumn id="1" xr3:uid="{00000000-0010-0000-0400-000001000000}" name="Projeto + Protocolo" dataDxfId="192" dataCellStyle="Texto"/>
    <tableColumn id="10" xr3:uid="{00000000-0010-0000-0400-00000A000000}" name="Atividade" dataDxfId="191" dataCellStyle="Texto"/>
    <tableColumn id="2" xr3:uid="{00000000-0010-0000-0400-000002000000}" name="Aprovações" dataDxfId="190" dataCellStyle="Texto"/>
    <tableColumn id="3" xr3:uid="{00000000-0010-0000-0400-000003000000}" name="Atribuída a" dataDxfId="189" dataCellStyle="Texto"/>
    <tableColumn id="4" xr3:uid="{00000000-0010-0000-0400-000004000000}" name="Estimado_x000a_Início" dataDxfId="188" dataCellStyle="Data"/>
    <tableColumn id="5" xr3:uid="{00000000-0010-0000-0400-000005000000}" name="Estimado _x000a_Término" dataDxfId="187" dataCellStyle="Data"/>
    <tableColumn id="7" xr3:uid="{00000000-0010-0000-0400-000007000000}" name="Duração Estimada (em dias)" dataDxfId="186" dataCellStyle="Duração estimada">
      <calculatedColumnFormula>IF(COUNTA('Prot. TLD - Carmel'!$F5,'Prot. TLD - Carmel'!$G5)&lt;&gt;2,"",DAYS360('Prot. TLD - Carmel'!$F5,'Prot. TLD - Carmel'!$G5,FALSE))</calculatedColumnFormula>
    </tableColumn>
    <tableColumn id="8" xr3:uid="{00000000-0010-0000-0400-000008000000}" name="Real _x000a_Início" dataDxfId="185" dataCellStyle="Início Real"/>
    <tableColumn id="9" xr3:uid="{00000000-0010-0000-0400-000009000000}" name="Real_x000a_Término" dataDxfId="184" dataCellStyle="Data"/>
    <tableColumn id="14" xr3:uid="{00000000-0010-0000-0400-00000E000000}" name="Sinalizador para duração real acima/abaixo (em dias)S" dataDxfId="183" dataCellStyle="Sinalizador">
      <calculatedColumnFormula>IFERROR(IF(ControladorDeProjetos369[[#This Row],[Duração Real (em dias)]]=0,"",IF(ABS((ControladorDeProjetos369[[#This Row],[Duração Real (em dias)]]-ControladorDeProjetos369[[#This Row],[Duração Estimada (em dias)]])/ControladorDeProjetos369[[#This Row],[Duração Estimada (em dias)]])&gt;Sinalizador_Porcentagem,1,0)),"")</calculatedColumnFormula>
    </tableColumn>
    <tableColumn id="11" xr3:uid="{00000000-0010-0000-0400-00000B000000}" name="Duração Real (em dias)" dataDxfId="182" dataCellStyle="Coluna cinza">
      <calculatedColumnFormula>ControladorDeProjetos369[[#This Row],[Real
Término]]-ControladorDeProjetos369[[#This Row],[Real 
Início]]</calculatedColumnFormula>
    </tableColumn>
    <tableColumn id="12" xr3:uid="{00000000-0010-0000-0400-00000C000000}" name="Anotações" dataDxfId="181" dataCellStyle="Texto"/>
    <tableColumn id="13" xr3:uid="{00000000-0010-0000-0400-00000D000000}" name="Situação" dataDxfId="180"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4438501-E14D-4745-93D1-520729A46FFE}" name="ControladorDeProjetos3673111213151617" displayName="ControladorDeProjetos3673111213151617" ref="A4:N15" totalsRowShown="0" headerRowDxfId="171" tableBorderDxfId="170">
  <autoFilter ref="A4:N15" xr:uid="{00000000-0009-0000-0100-000006000000}"/>
  <tableColumns count="14">
    <tableColumn id="6" xr3:uid="{C0616E78-4641-427F-A44D-AFDB3B071731}" name="Status" dataDxfId="169" dataCellStyle="Texto"/>
    <tableColumn id="1" xr3:uid="{7C99F090-31F8-44B6-956A-74DAFD1CBCEC}" name="Protocolo" dataDxfId="168" dataCellStyle="Texto"/>
    <tableColumn id="10" xr3:uid="{1B9C8B46-4D5B-491C-8891-FCA2F2A051FE}" name="Atividade" dataCellStyle="Texto"/>
    <tableColumn id="2" xr3:uid="{7AFB9DC0-7DA8-46A3-A8F5-31E069774158}" name="Aprovações" dataCellStyle="Texto"/>
    <tableColumn id="3" xr3:uid="{9014A1E6-DED3-43E8-AFF6-0106BAE223C8}" name="Atribuída a" dataCellStyle="Texto"/>
    <tableColumn id="4" xr3:uid="{3C15A421-3265-4B47-89A8-EF6918C08D7F}" name="Estimado_x000a_Início" dataCellStyle="Data"/>
    <tableColumn id="5" xr3:uid="{001021BB-2F48-4394-96EA-113CC5AC4E63}" name="Estimado _x000a_Término" dataCellStyle="Data"/>
    <tableColumn id="7" xr3:uid="{0D513CB6-0571-4EB8-887A-D3B7215F0257}" name="Duração Estimada (em dias)" dataDxfId="167" dataCellStyle="Duração estimada">
      <calculatedColumnFormula>IF(COUNTA('Prot. CVEL - Altona'!$F5,'Prot. CVEL - Altona'!$G5)&lt;&gt;2,"",DAYS360('Prot. CVEL - Altona'!$F5,'Prot. CVEL - Altona'!$G5,FALSE))</calculatedColumnFormula>
    </tableColumn>
    <tableColumn id="8" xr3:uid="{28FCBBEA-1476-47C5-BD9C-C2C3FC2DBFC3}" name="Real _x000a_Início" dataCellStyle="Início Real"/>
    <tableColumn id="9" xr3:uid="{1211EA5B-9E05-4436-AEA8-6D772F933B5E}" name="Real_x000a_Término" dataCellStyle="Data"/>
    <tableColumn id="14" xr3:uid="{A3282DCE-13A2-4CDB-90E5-5051FCDB5FE1}" name="Sinalizador para duração real acima/abaixo (em dias)S" dataDxfId="166" dataCellStyle="Sinalizador">
      <calculatedColumnFormula>IFERROR(IF(ControladorDeProjetos3673111213151617[[#This Row],[Duração Real (em dias)]]=0,"",IF(ABS((ControladorDeProjetos3673111213151617[[#This Row],[Duração Real (em dias)]]-ControladorDeProjetos3673111213151617[[#This Row],[Duração Estimada (em dias)]])/ControladorDeProjetos3673111213151617[[#This Row],[Duração Estimada (em dias)]])&gt;Sinalizador_Porcentagem,1,0)),"")</calculatedColumnFormula>
    </tableColumn>
    <tableColumn id="11" xr3:uid="{4AC4BF6B-4EB2-42ED-AEE3-FABA77180DE8}" name="Duração Real (em dias)" dataCellStyle="Coluna cinza">
      <calculatedColumnFormula>IF(COUNTA('Prot. CVEL - Altona'!$I5,'Prot. CVEL - Altona'!$J5)&lt;&gt;2,"",DAYS360('Prot. CVEL - Altona'!$I5,'Prot. CVEL - Altona'!$J5,FALSE))</calculatedColumnFormula>
    </tableColumn>
    <tableColumn id="12" xr3:uid="{7A97716D-DCE3-4C47-A5D6-9F503CB56E83}" name="Anotações" dataDxfId="165" dataCellStyle="Texto"/>
    <tableColumn id="13" xr3:uid="{CC80CCB1-3646-4428-B5F4-085EF8184B57}"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14D325B-14BD-40F6-A2F8-BE5309BADDCE}" name="ControladorDeProjetos3673111213151618" displayName="ControladorDeProjetos3673111213151618" ref="A4:N15" totalsRowShown="0" headerRowDxfId="156" tableBorderDxfId="155">
  <autoFilter ref="A4:N15" xr:uid="{00000000-0009-0000-0100-000006000000}"/>
  <tableColumns count="14">
    <tableColumn id="6" xr3:uid="{C16A3974-2A66-47DF-B7C2-3EF6245124AD}" name="Status" dataDxfId="154" dataCellStyle="Texto"/>
    <tableColumn id="1" xr3:uid="{36BC4D7E-FA2D-4ECE-8858-03A6A5FBEBCA}" name="Protocolo" dataDxfId="153" dataCellStyle="Texto"/>
    <tableColumn id="10" xr3:uid="{2222E084-5848-40AC-9333-47E2C9C3BAF4}" name="Atividade" dataCellStyle="Texto"/>
    <tableColumn id="2" xr3:uid="{71F59051-6075-450D-BF90-91D13224130A}" name="Aprovações" dataCellStyle="Texto"/>
    <tableColumn id="3" xr3:uid="{B7BFA54A-26CD-4C5F-A8BB-53FD64B7DE20}" name="Atribuída a" dataCellStyle="Texto"/>
    <tableColumn id="4" xr3:uid="{B01B52DE-966B-435F-9B17-CCFA6B177474}" name="Estimado_x000a_Início" dataCellStyle="Data"/>
    <tableColumn id="5" xr3:uid="{7C6AB279-AC52-43A4-96B4-2B5B34C5F7E4}" name="Estimado _x000a_Término" dataCellStyle="Data"/>
    <tableColumn id="7" xr3:uid="{AABB98EE-3B75-4B8E-BCB6-39EB76CFB569}" name="Duração Estimada (em dias)" dataDxfId="152" dataCellStyle="Duração estimada">
      <calculatedColumnFormula>IF(COUNTA('Prot. TLD - Biopark'!$F5,'Prot. TLD - Biopark'!$G5)&lt;&gt;2,"",DAYS360('Prot. TLD - Biopark'!$F5,'Prot. TLD - Biopark'!$G5,FALSE))</calculatedColumnFormula>
    </tableColumn>
    <tableColumn id="8" xr3:uid="{D6F400E4-4267-4423-97E1-B1EC85635D2E}" name="Real _x000a_Início" dataCellStyle="Início Real"/>
    <tableColumn id="9" xr3:uid="{A7E40378-3CF5-43E8-85B1-7E05B8904CA2}" name="Real_x000a_Término" dataCellStyle="Data"/>
    <tableColumn id="14" xr3:uid="{814D2F2C-D0EE-4BBC-BE7A-84D338F2864B}" name="Sinalizador para duração real acima/abaixo (em dias)S" dataDxfId="151" dataCellStyle="Sinalizador">
      <calculatedColumnFormula>IFERROR(IF(ControladorDeProjetos3673111213151618[[#This Row],[Duração Real (em dias)]]=0,"",IF(ABS((ControladorDeProjetos3673111213151618[[#This Row],[Duração Real (em dias)]]-ControladorDeProjetos3673111213151618[[#This Row],[Duração Estimada (em dias)]])/ControladorDeProjetos3673111213151618[[#This Row],[Duração Estimada (em dias)]])&gt;Sinalizador_Porcentagem,1,0)),"")</calculatedColumnFormula>
    </tableColumn>
    <tableColumn id="11" xr3:uid="{944630EC-54F7-441A-A3D7-58E5E4A810BD}" name="Duração Real (em dias)" dataCellStyle="Coluna cinza">
      <calculatedColumnFormula>IF(COUNTA('Prot. TLD - Biopark'!$I5,'Prot. TLD - Biopark'!$J5)&lt;&gt;2,"",DAYS360('Prot. TLD - Biopark'!$I5,'Prot. TLD - Biopark'!$J5,FALSE))</calculatedColumnFormula>
    </tableColumn>
    <tableColumn id="12" xr3:uid="{367672BB-9128-4DE8-8C6C-408B2214D3F4}" name="Anotações" dataDxfId="150" dataCellStyle="Texto"/>
    <tableColumn id="13" xr3:uid="{78A0DFC5-99AE-4E38-9909-EF647C7C7FD5}"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BB9C5F-6643-414E-AB6E-556A38FD2BB2}" name="ControladorDeProjetos36731112131516" displayName="ControladorDeProjetos36731112131516" ref="A4:N15" totalsRowShown="0" headerRowDxfId="141" tableBorderDxfId="140">
  <autoFilter ref="A4:N15" xr:uid="{00000000-0009-0000-0100-000006000000}"/>
  <tableColumns count="14">
    <tableColumn id="6" xr3:uid="{5647D365-6AC7-401B-88CF-0948372A7C9D}" name="Status" dataDxfId="139" dataCellStyle="Texto"/>
    <tableColumn id="1" xr3:uid="{915386CC-B89A-41EC-965E-0D3F42D34223}" name="Protocolo" dataDxfId="138" dataCellStyle="Texto"/>
    <tableColumn id="10" xr3:uid="{29000B26-6697-4316-8A2D-45E10BFE977F}" name="Atividade" dataCellStyle="Texto"/>
    <tableColumn id="2" xr3:uid="{A1BAD901-F1EF-48D1-B0A5-A56ED07DA84C}" name="Aprovações" dataCellStyle="Texto"/>
    <tableColumn id="3" xr3:uid="{EB27B7BC-C104-4389-A578-895391161418}" name="Atribuída a" dataCellStyle="Texto"/>
    <tableColumn id="4" xr3:uid="{C8214626-9A14-4063-AEC5-FEC880B445D7}" name="Estimado_x000a_Início" dataCellStyle="Data"/>
    <tableColumn id="5" xr3:uid="{48C4F7F5-675D-4A43-B965-23C5C581F0AA}" name="Estimado _x000a_Término" dataCellStyle="Data"/>
    <tableColumn id="7" xr3:uid="{5B798C2D-07CB-4A0D-9CC8-B57520B612D1}" name="Duração Estimada (em dias)" dataDxfId="137" dataCellStyle="Duração estimada">
      <calculatedColumnFormula>IF(COUNTA('Prot. CVEL - Bresolin'!$F5,'Prot. CVEL - Bresolin'!$G5)&lt;&gt;2,"",DAYS360('Prot. CVEL - Bresolin'!$F5,'Prot. CVEL - Bresolin'!$G5,FALSE))</calculatedColumnFormula>
    </tableColumn>
    <tableColumn id="8" xr3:uid="{B4CD8C06-4800-445F-98BC-1A83214EEDE4}" name="Real _x000a_Início" dataCellStyle="Início Real"/>
    <tableColumn id="9" xr3:uid="{74C4A3D6-C24E-45C1-96F2-EBEFCA46F8C9}" name="Real_x000a_Término" dataCellStyle="Data"/>
    <tableColumn id="14" xr3:uid="{30021CD0-E28D-45F9-9272-72B6B86862C0}" name="Sinalizador para duração real acima/abaixo (em dias)S" dataDxfId="136" dataCellStyle="Sinalizador">
      <calculatedColumnFormula>IFERROR(IF(ControladorDeProjetos36731112131516[[#This Row],[Duração Real (em dias)]]=0,"",IF(ABS((ControladorDeProjetos36731112131516[[#This Row],[Duração Real (em dias)]]-ControladorDeProjetos36731112131516[[#This Row],[Duração Estimada (em dias)]])/ControladorDeProjetos36731112131516[[#This Row],[Duração Estimada (em dias)]])&gt;Sinalizador_Porcentagem,1,0)),"")</calculatedColumnFormula>
    </tableColumn>
    <tableColumn id="11" xr3:uid="{C59C2C66-8397-4B12-84CE-267EEAF0B097}" name="Duração Real (em dias)" dataCellStyle="Coluna cinza">
      <calculatedColumnFormula>IF(COUNTA('Prot. CVEL - Bresolin'!$I5,'Prot. CVEL - Bresolin'!$J5)&lt;&gt;2,"",DAYS360('Prot. CVEL - Bresolin'!$I5,'Prot. CVEL - Bresolin'!$J5,FALSE))</calculatedColumnFormula>
    </tableColumn>
    <tableColumn id="12" xr3:uid="{4471DAF7-3BF7-4B43-9B54-C6643757B073}" name="Anotações" dataDxfId="135" dataCellStyle="Texto"/>
    <tableColumn id="13" xr3:uid="{C9599973-5809-49DC-BB59-3FD69C978C5A}"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8008AA-3CC4-436F-BE70-56E568A674CC}" name="ControladorDeProjetos367314" displayName="ControladorDeProjetos367314" ref="A4:N14" totalsRowShown="0" headerRowDxfId="126" tableBorderDxfId="125">
  <autoFilter ref="A4:N14" xr:uid="{2A8008AA-3CC4-436F-BE70-56E568A674CC}"/>
  <tableColumns count="14">
    <tableColumn id="6" xr3:uid="{70162839-ACD3-42F3-A956-F4232F15DF25}" name="Status" dataDxfId="124" dataCellStyle="Texto"/>
    <tableColumn id="1" xr3:uid="{8DE51080-252F-43E7-9FBB-5D6F48956151}" name="Protocolo" dataCellStyle="Texto"/>
    <tableColumn id="10" xr3:uid="{210209CB-2F7E-469F-A24A-0D0BFC428C87}" name="Atividade" dataCellStyle="Texto"/>
    <tableColumn id="2" xr3:uid="{C6F4FEA1-C4E6-430D-B358-6B0530DC92AB}" name="Aprovações" dataCellStyle="Texto"/>
    <tableColumn id="3" xr3:uid="{8C03149E-54D4-496F-92FE-5259E511A13B}" name="Atribuída a" dataCellStyle="Texto"/>
    <tableColumn id="4" xr3:uid="{2C186622-4B26-4A6D-B8CD-860D69626F49}" name="Estimado_x000a_Início" dataCellStyle="Data"/>
    <tableColumn id="5" xr3:uid="{069DB241-B05B-486E-8F16-4ED2C7A338FF}" name="Estimado _x000a_Término" dataCellStyle="Data"/>
    <tableColumn id="7" xr3:uid="{62F7E015-CB39-4830-BC38-A23F926844B4}" name="Duração Estimada (em dias)" dataDxfId="123" dataCellStyle="Duração estimada">
      <calculatedColumnFormula>IF(COUNTA('Prot. CVEL - Bella Citta'!$F5,'Prot. CVEL - Bella Citta'!$G5)&lt;&gt;2,"",DAYS360('Prot. CVEL - Bella Citta'!$F5,'Prot. CVEL - Bella Citta'!$G5,FALSE))</calculatedColumnFormula>
    </tableColumn>
    <tableColumn id="8" xr3:uid="{85E2E95D-BF0E-4CDF-AF7C-71EBBA124310}" name="Real _x000a_Início" dataCellStyle="Início Real"/>
    <tableColumn id="9" xr3:uid="{D93BD84E-7C38-4C51-8A37-F70758367D69}" name="Real_x000a_Término" dataCellStyle="Data"/>
    <tableColumn id="14" xr3:uid="{B0103A99-3A78-4C7E-A924-BBD0129F5448}" name="Sinalizador para duração real acima/abaixo (em dias)S" dataDxfId="122" dataCellStyle="Sinalizador">
      <calculatedColumnFormula>IFERROR(IF(ControladorDeProjetos367314[[#This Row],[Duração Real (em dias)]]=0,"",IF(ABS((ControladorDeProjetos367314[[#This Row],[Duração Real (em dias)]]-ControladorDeProjetos367314[[#This Row],[Duração Estimada (em dias)]])/ControladorDeProjetos367314[[#This Row],[Duração Estimada (em dias)]])&gt;Sinalizador_Porcentagem,1,0)),"")</calculatedColumnFormula>
    </tableColumn>
    <tableColumn id="11" xr3:uid="{F3BE0BB9-5538-4CE8-A5C5-CA47C1EE90D8}" name="Duração Real (em dias)" dataCellStyle="Coluna cinza">
      <calculatedColumnFormula>IF(COUNTA('Prot. CVEL - Bella Citta'!$I5,'Prot. CVEL - Bella Citta'!$J5)&lt;&gt;2,"",DAYS360('Prot. CVEL - Bella Citta'!$I5,'Prot. CVEL - Bella Citta'!$J5,FALSE))</calculatedColumnFormula>
    </tableColumn>
    <tableColumn id="12" xr3:uid="{934A63C8-E199-4D2C-AA3B-887FE8F790A3}" name="Anotações" dataDxfId="121" dataCellStyle="Texto"/>
    <tableColumn id="13" xr3:uid="{B66AA0EB-5C5C-4C16-A224-76A45D731A4A}"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EEE38-E995-4A74-95D1-83BEC531C2A9}" name="ControladorDeProjetos3673" displayName="ControladorDeProjetos3673" ref="A4:N15" totalsRowShown="0" headerRowDxfId="112" tableBorderDxfId="111">
  <autoFilter ref="A4:N15" xr:uid="{00000000-0009-0000-0100-000006000000}"/>
  <tableColumns count="14">
    <tableColumn id="6" xr3:uid="{3F0389C3-8DBA-4333-9939-4A5BBF3A4332}" name="Status" dataDxfId="110" dataCellStyle="Texto"/>
    <tableColumn id="1" xr3:uid="{51573922-4CF8-4A7C-9543-CF5848B37EA3}" name="Protocolo" dataDxfId="109" dataCellStyle="Texto"/>
    <tableColumn id="10" xr3:uid="{DE2902A8-96E0-4BD4-9D88-E07C57997C71}" name="Atividade" dataCellStyle="Texto"/>
    <tableColumn id="2" xr3:uid="{42BED636-C68C-4093-AF1F-46C6384BB80D}" name="Aprovações" dataCellStyle="Texto"/>
    <tableColumn id="3" xr3:uid="{5784CF46-4A46-42D3-BF2F-10CEB9F39DFD}" name="Atribuída a" dataCellStyle="Texto"/>
    <tableColumn id="4" xr3:uid="{AA902C83-C96F-4530-87D4-631A3512C410}" name="Estimado_x000a_Início" dataCellStyle="Data"/>
    <tableColumn id="5" xr3:uid="{06801AF4-C24D-4BA9-B0F1-03461D21827A}" name="Estimado _x000a_Término" dataCellStyle="Data"/>
    <tableColumn id="7" xr3:uid="{74CFF4D2-4D40-4600-8AF3-FD67CE561F66}" name="Duração Estimada (em dias)" dataDxfId="108" dataCellStyle="Duração estimada">
      <calculatedColumnFormula>IF(COUNTA('Prot. TLD - Solar de Verona'!$F5,'Prot. TLD - Solar de Verona'!$G5)&lt;&gt;2,"",DAYS360('Prot. TLD - Solar de Verona'!$F5,'Prot. TLD - Solar de Verona'!$G5,FALSE))</calculatedColumnFormula>
    </tableColumn>
    <tableColumn id="8" xr3:uid="{D45B231F-E703-4ED8-B360-FA34A2CE97F7}" name="Real _x000a_Início" dataCellStyle="Início Real"/>
    <tableColumn id="9" xr3:uid="{EC7A6CC5-BDB3-4EEE-A6E5-5B215F801535}" name="Real_x000a_Término" dataCellStyle="Data"/>
    <tableColumn id="14" xr3:uid="{6DB800E7-1AEF-4B45-BE74-CE4CE33260BC}" name="Sinalizador para duração real acima/abaixo (em dias)S" dataDxfId="107" dataCellStyle="Sinalizador">
      <calculatedColumnFormula>IFERROR(IF(ControladorDeProjetos3673[[#This Row],[Duração Real (em dias)]]=0,"",IF(ABS((ControladorDeProjetos3673[[#This Row],[Duração Real (em dias)]]-ControladorDeProjetos3673[[#This Row],[Duração Estimada (em dias)]])/ControladorDeProjetos3673[[#This Row],[Duração Estimada (em dias)]])&gt;Sinalizador_Porcentagem,1,0)),"")</calculatedColumnFormula>
    </tableColumn>
    <tableColumn id="11" xr3:uid="{BD30FC37-0B25-48EB-8B35-0AAED6FD53A5}" name="Duração Real (em dias)" dataCellStyle="Coluna cinza">
      <calculatedColumnFormula>IF(COUNTA('Prot. TLD - Solar de Verona'!$I5,'Prot. TLD - Solar de Verona'!$J5)&lt;&gt;2,"",DAYS360('Prot. TLD - Solar de Verona'!$I5,'Prot. TLD - Solar de Verona'!$J5,FALSE))</calculatedColumnFormula>
    </tableColumn>
    <tableColumn id="12" xr3:uid="{F79463DE-BF51-47D9-B353-95DE96EDA833}" name="Anotações" dataDxfId="106" dataCellStyle="Texto"/>
    <tableColumn id="13" xr3:uid="{28A094F5-DD5A-4AAC-8243-10659B5C3A2E}"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C72B121-09AF-46C0-9259-75860A9FAD61}" name="ControladorDeProjetos367311" displayName="ControladorDeProjetos367311" ref="A4:N15" totalsRowShown="0" headerRowDxfId="97" tableBorderDxfId="96">
  <autoFilter ref="A4:N15" xr:uid="{00000000-0009-0000-0100-000006000000}"/>
  <tableColumns count="14">
    <tableColumn id="6" xr3:uid="{990F0096-4003-4FA1-B338-3D7252324ADC}" name="Status" dataDxfId="95" dataCellStyle="Texto"/>
    <tableColumn id="1" xr3:uid="{9E6694FA-0D7C-4BF6-A2F5-4E70702A4D46}" name="Protocolo" dataDxfId="94" dataCellStyle="Texto"/>
    <tableColumn id="10" xr3:uid="{94F3C273-AFAA-43CE-B375-10E9C0356989}" name="Atividade" dataCellStyle="Texto"/>
    <tableColumn id="2" xr3:uid="{DF189A2F-9041-4DA0-B5CE-AC1DF7EF089A}" name="Aprovações" dataCellStyle="Texto"/>
    <tableColumn id="3" xr3:uid="{C008CE6A-5966-4DF0-A5BF-661A67E691D5}" name="Atribuída a" dataCellStyle="Texto"/>
    <tableColumn id="4" xr3:uid="{1A77CC77-F6AB-459D-8E73-FA1ED290F87F}" name="Estimado_x000a_Início" dataCellStyle="Data"/>
    <tableColumn id="5" xr3:uid="{8DEC1F01-483D-454C-B8D5-3DFB17461584}" name="Estimado _x000a_Término" dataCellStyle="Data"/>
    <tableColumn id="7" xr3:uid="{429B018A-DCD3-40D1-919F-DAD29E5D3C7B}" name="Duração Estimada (em dias)" dataDxfId="93" dataCellStyle="Duração estimada">
      <calculatedColumnFormula>IF(COUNTA('Prot. TLD - Sede Hélio'!$F5,'Prot. TLD - Sede Hélio'!$G5)&lt;&gt;2,"",DAYS360('Prot. TLD - Sede Hélio'!$F5,'Prot. TLD - Sede Hélio'!$G5,FALSE))</calculatedColumnFormula>
    </tableColumn>
    <tableColumn id="8" xr3:uid="{1A13B928-BAC6-448C-AFFB-A7DD07243C32}" name="Real _x000a_Início" dataCellStyle="Início Real"/>
    <tableColumn id="9" xr3:uid="{49C520A1-4CC6-4157-981C-58C786C6A8E0}" name="Real_x000a_Término" dataCellStyle="Data"/>
    <tableColumn id="14" xr3:uid="{C17AF3CD-C130-47CD-8031-2ACCF253C961}" name="Sinalizador para duração real acima/abaixo (em dias)S" dataDxfId="92" dataCellStyle="Sinalizador">
      <calculatedColumnFormula>IFERROR(IF(ControladorDeProjetos367311[[#This Row],[Duração Real (em dias)]]=0,"",IF(ABS((ControladorDeProjetos367311[[#This Row],[Duração Real (em dias)]]-ControladorDeProjetos367311[[#This Row],[Duração Estimada (em dias)]])/ControladorDeProjetos367311[[#This Row],[Duração Estimada (em dias)]])&gt;Sinalizador_Porcentagem,1,0)),"")</calculatedColumnFormula>
    </tableColumn>
    <tableColumn id="11" xr3:uid="{874A8C5E-7BEF-43D0-9EB9-54E6814E9F06}" name="Duração Real (em dias)" dataCellStyle="Coluna cinza">
      <calculatedColumnFormula>IF(COUNTA('Prot. TLD - Sede Hélio'!$I5,'Prot. TLD - Sede Hélio'!$J5)&lt;&gt;2,"",DAYS360('Prot. TLD - Sede Hélio'!$I5,'Prot. TLD - Sede Hélio'!$J5,FALSE))</calculatedColumnFormula>
    </tableColumn>
    <tableColumn id="12" xr3:uid="{EC8BBD65-7BDF-4813-9F7D-175B638DE652}" name="Anotações" dataDxfId="91" dataCellStyle="Texto"/>
    <tableColumn id="13" xr3:uid="{D22BCF91-998B-46D5-B742-149A95562C6D}"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9341E17-8EEB-4BCC-93C5-4B651BFDC941}" name="ControladorDeProjetos36731112" displayName="ControladorDeProjetos36731112" ref="A4:N15" totalsRowShown="0" headerRowDxfId="82" tableBorderDxfId="81">
  <autoFilter ref="A4:N15" xr:uid="{00000000-0009-0000-0100-000006000000}"/>
  <tableColumns count="14">
    <tableColumn id="6" xr3:uid="{E3FF3CD6-8360-4C21-9295-866B93C7FED6}" name="Status" dataDxfId="80" dataCellStyle="Texto"/>
    <tableColumn id="1" xr3:uid="{38D04A89-2F7B-4E0D-AA8C-DE20FCD88041}" name="Protocolo" dataCellStyle="Texto"/>
    <tableColumn id="10" xr3:uid="{C48B260C-7BB3-450B-9B9A-284D35ED26E2}" name="Atividade" dataCellStyle="Texto"/>
    <tableColumn id="2" xr3:uid="{443E49BE-F44E-4D88-A2EF-C2EF57D1FB45}" name="Aprovações" dataCellStyle="Texto"/>
    <tableColumn id="3" xr3:uid="{67F2B49E-27AB-4B89-B6DC-AE9A80538A29}" name="Atribuída a" dataCellStyle="Texto"/>
    <tableColumn id="4" xr3:uid="{C989A2AF-EED0-411A-8CDB-178BA6989EEB}" name="Estimado_x000a_Início" dataCellStyle="Data"/>
    <tableColumn id="5" xr3:uid="{A0D303C3-102C-4B24-866A-DFF32629FD54}" name="Estimado _x000a_Término" dataCellStyle="Data"/>
    <tableColumn id="7" xr3:uid="{FEE93DEF-9590-41C6-9568-36BB913CECF6}" name="Duração Estimada (em dias)" dataDxfId="79" dataCellStyle="Duração estimada">
      <calculatedColumnFormula>IF(COUNTA('Prot. TLD - Sperafico'!$F5,'Prot. TLD - Sperafico'!$G5)&lt;&gt;2,"",DAYS360('Prot. TLD - Sperafico'!$F5,'Prot. TLD - Sperafico'!$G5,FALSE))</calculatedColumnFormula>
    </tableColumn>
    <tableColumn id="8" xr3:uid="{FD1D8F3F-B402-4992-8F90-DFB62CE66C20}" name="Real _x000a_Início" dataCellStyle="Início Real"/>
    <tableColumn id="9" xr3:uid="{B2094C34-D81D-4798-92ED-BEBDB98235AE}" name="Real_x000a_Término" dataCellStyle="Data"/>
    <tableColumn id="14" xr3:uid="{3250B206-C1C5-4CD7-94CE-6A1568ECBC4C}" name="Sinalizador para duração real acima/abaixo (em dias)S" dataDxfId="78" dataCellStyle="Sinalizador">
      <calculatedColumnFormula>IFERROR(IF(ControladorDeProjetos36731112[[#This Row],[Duração Real (em dias)]]=0,"",IF(ABS((ControladorDeProjetos36731112[[#This Row],[Duração Real (em dias)]]-ControladorDeProjetos36731112[[#This Row],[Duração Estimada (em dias)]])/ControladorDeProjetos36731112[[#This Row],[Duração Estimada (em dias)]])&gt;Sinalizador_Porcentagem,1,0)),"")</calculatedColumnFormula>
    </tableColumn>
    <tableColumn id="11" xr3:uid="{25260996-4FA4-40D8-B75D-07C9096CF72C}" name="Duração Real (em dias)" dataCellStyle="Coluna cinza">
      <calculatedColumnFormula>IF(COUNTA('Prot. TLD - Sperafico'!$I5,'Prot. TLD - Sperafico'!$J5)&lt;&gt;2,"",DAYS360('Prot. TLD - Sperafico'!$I5,'Prot. TLD - Sperafico'!$J5,FALSE))</calculatedColumnFormula>
    </tableColumn>
    <tableColumn id="12" xr3:uid="{38BD7A9D-958F-4ACB-A9F6-56160879EEC0}" name="Anotações" dataDxfId="77" dataCellStyle="Texto"/>
    <tableColumn id="13" xr3:uid="{0050C3C6-2AA9-4C95-A1CA-EC74BF671D9B}"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BB8937F-58B7-4804-9516-C968997A83D0}" name="ControladorDeProjetos367311121315" displayName="ControladorDeProjetos367311121315" ref="A4:N15" totalsRowShown="0" headerRowDxfId="68" tableBorderDxfId="67">
  <autoFilter ref="A4:N15" xr:uid="{00000000-0009-0000-0100-000006000000}"/>
  <tableColumns count="14">
    <tableColumn id="6" xr3:uid="{EABCC1A1-93D1-4C16-BB47-6D87A2C542F6}" name="Status" dataDxfId="66" dataCellStyle="Texto"/>
    <tableColumn id="1" xr3:uid="{3CEA37CD-233A-4E01-97AC-503444C6D819}" name="Protocolo" dataCellStyle="Texto"/>
    <tableColumn id="10" xr3:uid="{4D9728F9-CD8A-406A-9BFA-934452A5519A}" name="Atividade" dataCellStyle="Texto"/>
    <tableColumn id="2" xr3:uid="{F49DFB1D-F26C-4C57-A2E8-E03F832F495B}" name="Aprovações" dataCellStyle="Texto"/>
    <tableColumn id="3" xr3:uid="{C59C0204-C6D2-4A29-A779-BB63DC68CC56}" name="Atribuída a" dataCellStyle="Texto"/>
    <tableColumn id="4" xr3:uid="{FDD884DE-4DFF-465E-BECC-72E817D42A80}" name="Estimado_x000a_Início" dataCellStyle="Data"/>
    <tableColumn id="5" xr3:uid="{A566D845-0255-41D5-81EE-49CB72758DE5}" name="Estimado _x000a_Término" dataCellStyle="Data"/>
    <tableColumn id="7" xr3:uid="{A2C80844-002F-4B17-BBF5-9E089CF07893}" name="Duração Estimada (em dias)" dataDxfId="65" dataCellStyle="Duração estimada">
      <calculatedColumnFormula>IF(COUNTA('Prot. TLD - 13 de Abril'!$F5,'Prot. TLD - 13 de Abril'!$G5)&lt;&gt;2,"",DAYS360('Prot. TLD - 13 de Abril'!$F5,'Prot. TLD - 13 de Abril'!$G5,FALSE))</calculatedColumnFormula>
    </tableColumn>
    <tableColumn id="8" xr3:uid="{F1FE8B0E-39FA-4055-9C31-C7BFC64CA182}" name="Real _x000a_Início" dataCellStyle="Início Real"/>
    <tableColumn id="9" xr3:uid="{36FF7DFF-AB3D-4BC7-8FF0-52A5A0D00817}" name="Real_x000a_Término" dataCellStyle="Data"/>
    <tableColumn id="14" xr3:uid="{A6529D6F-E30A-4DA9-B4C5-F4178994BFAF}" name="Sinalizador para duração real acima/abaixo (em dias)S" dataDxfId="64" dataCellStyle="Sinalizador">
      <calculatedColumnFormula>IFERROR(IF(ControladorDeProjetos367311121315[[#This Row],[Duração Real (em dias)]]=0,"",IF(ABS((ControladorDeProjetos367311121315[[#This Row],[Duração Real (em dias)]]-ControladorDeProjetos367311121315[[#This Row],[Duração Estimada (em dias)]])/ControladorDeProjetos367311121315[[#This Row],[Duração Estimada (em dias)]])&gt;Sinalizador_Porcentagem,1,0)),"")</calculatedColumnFormula>
    </tableColumn>
    <tableColumn id="11" xr3:uid="{2EE4E7FD-141C-46D6-BC78-0545C0D234E4}" name="Duração Real (em dias)" dataCellStyle="Coluna cinza">
      <calculatedColumnFormula>IF(COUNTA('Prot. TLD - 13 de Abril'!$I5,'Prot. TLD - 13 de Abril'!$J5)&lt;&gt;2,"",DAYS360('Prot. TLD - 13 de Abril'!$I5,'Prot. TLD - 13 de Abril'!$J5,FALSE))</calculatedColumnFormula>
    </tableColumn>
    <tableColumn id="12" xr3:uid="{6A207E1D-E3DD-4D86-AFD8-8C39530EE50D}" name="Anotações" dataDxfId="63" dataCellStyle="Texto"/>
    <tableColumn id="13" xr3:uid="{59757757-9550-4AFC-B8F6-694BCFA15118}"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789C86A-727C-4680-8F62-7511E4E9E5BE}" name="ControladorDeProjetos3673111213" displayName="ControladorDeProjetos3673111213" ref="A4:N15" totalsRowShown="0" headerRowDxfId="54" tableBorderDxfId="53">
  <autoFilter ref="A4:N15" xr:uid="{00000000-0009-0000-0100-000006000000}"/>
  <tableColumns count="14">
    <tableColumn id="6" xr3:uid="{4D62D6A0-4798-4756-9302-829378850C0B}" name="Status" dataDxfId="52" dataCellStyle="Texto"/>
    <tableColumn id="1" xr3:uid="{85B2B158-CD51-4817-9E5F-F81CD1374B15}" name="Protocolo" dataCellStyle="Texto"/>
    <tableColumn id="10" xr3:uid="{93A6DA14-5686-453E-81E6-EE6D7F6B592B}" name="Atividade" dataCellStyle="Texto"/>
    <tableColumn id="2" xr3:uid="{8616D7F8-0E0E-4A76-8DEF-132416655C24}" name="Aprovações" dataCellStyle="Texto"/>
    <tableColumn id="3" xr3:uid="{DFDC83A0-B10D-4D29-996A-3C3A72DF302A}" name="Atribuída a" dataCellStyle="Texto"/>
    <tableColumn id="4" xr3:uid="{B96E6F42-E01F-431A-A6F8-A9F3A53232C3}" name="Estimado_x000a_Início" dataCellStyle="Data"/>
    <tableColumn id="5" xr3:uid="{FF4E0BC5-62AD-43D2-8D29-E31CE53D56C9}" name="Estimado _x000a_Término" dataCellStyle="Data"/>
    <tableColumn id="7" xr3:uid="{E86BAE71-CF27-43CC-997B-9E33A448352F}" name="Duração Estimada (em dias)" dataDxfId="51" dataCellStyle="Duração estimada">
      <calculatedColumnFormula>IF(COUNTA('Prot. TLD - Reserva do Lago'!$F5,'Prot. TLD - Reserva do Lago'!$G5)&lt;&gt;2,"",DAYS360('Prot. TLD - Reserva do Lago'!$F5,'Prot. TLD - Reserva do Lago'!$G5,FALSE))</calculatedColumnFormula>
    </tableColumn>
    <tableColumn id="8" xr3:uid="{924C05FF-FCFA-4697-888E-4FE6E2B19A6D}" name="Real _x000a_Início" dataCellStyle="Início Real"/>
    <tableColumn id="9" xr3:uid="{C144A7DE-6C6D-4CFD-90FA-E6164292A554}" name="Real_x000a_Término" dataCellStyle="Data"/>
    <tableColumn id="14" xr3:uid="{A592A47B-5370-46AE-9536-DF9FFF4447C8}" name="Sinalizador para duração real acima/abaixo (em dias)S" dataDxfId="50" dataCellStyle="Sinalizador">
      <calculatedColumnFormula>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calculatedColumnFormula>
    </tableColumn>
    <tableColumn id="11" xr3:uid="{4AA16797-2B46-4E8E-A15E-95B16D7D618F}" name="Duração Real (em dias)" dataCellStyle="Coluna cinza">
      <calculatedColumnFormula>IF(COUNTA('Prot. TLD - Reserva do Lago'!$I5,'Prot. TLD - Reserva do Lago'!$J5)&lt;&gt;2,"",DAYS360('Prot. TLD - Reserva do Lago'!$I5,'Prot. TLD - Reserva do Lago'!$J5,FALSE))</calculatedColumnFormula>
    </tableColumn>
    <tableColumn id="12" xr3:uid="{01609541-218F-48DF-9055-CB11F62D2132}" name="Anotações" dataDxfId="49" dataCellStyle="Texto"/>
    <tableColumn id="13" xr3:uid="{3549A890-2493-4EFB-849F-5F9A2A58646C}"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ControladorDeProjetos36" displayName="ControladorDeProjetos36" ref="A4:N15" totalsRowShown="0" headerRowDxfId="40" tableBorderDxfId="39">
  <autoFilter ref="A4:N15" xr:uid="{00000000-0009-0000-0100-000005000000}"/>
  <tableColumns count="14">
    <tableColumn id="6" xr3:uid="{00000000-0010-0000-0500-000006000000}" name="Status" dataDxfId="38" dataCellStyle="Texto"/>
    <tableColumn id="1" xr3:uid="{00000000-0010-0000-0500-000001000000}" name="Projeto + Protocolo" dataCellStyle="Texto"/>
    <tableColumn id="10" xr3:uid="{00000000-0010-0000-0500-00000A000000}" name="Atividade" dataCellStyle="Texto"/>
    <tableColumn id="2" xr3:uid="{00000000-0010-0000-0500-000002000000}" name="Aprovações" dataCellStyle="Texto"/>
    <tableColumn id="3" xr3:uid="{00000000-0010-0000-0500-000003000000}" name="Atribuída a" dataCellStyle="Texto"/>
    <tableColumn id="4" xr3:uid="{00000000-0010-0000-0500-000004000000}" name="Estimado_x000a_Início" dataCellStyle="Data"/>
    <tableColumn id="5" xr3:uid="{00000000-0010-0000-0500-000005000000}" name="Estimado _x000a_Término" dataCellStyle="Data"/>
    <tableColumn id="7" xr3:uid="{00000000-0010-0000-0500-000007000000}" name="Duração Estimada (em dias)" dataDxfId="37" dataCellStyle="Duração estimada">
      <calculatedColumnFormula>ControladorDeProjetos36[[#This Row],[Estimado 
Término]]-ControladorDeProjetos36[[#This Row],[Estimado
Início]]</calculatedColumnFormula>
    </tableColumn>
    <tableColumn id="8" xr3:uid="{00000000-0010-0000-0500-000008000000}" name="Real _x000a_Início" dataCellStyle="Início Real"/>
    <tableColumn id="9" xr3:uid="{00000000-0010-0000-0500-000009000000}" name="Real_x000a_Término" dataCellStyle="Data"/>
    <tableColumn id="14" xr3:uid="{00000000-0010-0000-0500-00000E000000}" name="Sinalizador para duração real acima/abaixo (em dias)S" dataDxfId="36" dataCellStyle="Sinalizador">
      <calculatedColumnFormula>IFERROR(IF(ControladorDeProjetos36[[#This Row],[Duração Real (em dias)]]=0,"",IF(ABS((ControladorDeProjetos36[[#This Row],[Duração Real (em dias)]]-ControladorDeProjetos36[[#This Row],[Duração Estimada (em dias)]])/ControladorDeProjetos36[[#This Row],[Duração Estimada (em dias)]])&gt;Sinalizador_Porcentagem,1,0)),"")</calculatedColumnFormula>
    </tableColumn>
    <tableColumn id="11" xr3:uid="{00000000-0010-0000-0500-00000B000000}" name="Duração Real (em dias)" dataCellStyle="Coluna cinza">
      <calculatedColumnFormula>IF(COUNTA('Prot. TLD - Lot. Vera Cruz'!$I5,'Prot. TLD - Lot. Vera Cruz'!$J5)&lt;&gt;2,"",DAYS360('Prot. TLD - Lot. Vera Cruz'!$I5,'Prot. TLD - Lot. Vera Cruz'!$J5,FALSE))</calculatedColumnFormula>
    </tableColumn>
    <tableColumn id="12" xr3:uid="{00000000-0010-0000-0500-00000C000000}" name="Anotações" dataDxfId="35" dataCellStyle="Texto"/>
    <tableColumn id="13" xr3:uid="{00000000-0010-0000-0500-00000D000000}"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ControladorDeProjetos367" displayName="ControladorDeProjetos367" ref="A4:N15" totalsRowShown="0" headerRowDxfId="26" tableBorderDxfId="25">
  <autoFilter ref="A4:N15" xr:uid="{00000000-0009-0000-0100-000006000000}"/>
  <tableColumns count="14">
    <tableColumn id="6" xr3:uid="{00000000-0010-0000-0600-000006000000}" name="Status" dataDxfId="24" dataCellStyle="Texto"/>
    <tableColumn id="1" xr3:uid="{00000000-0010-0000-0600-000001000000}" name="Projeto + Protocolo" dataCellStyle="Texto"/>
    <tableColumn id="10" xr3:uid="{00000000-0010-0000-0600-00000A000000}" name="Atividade" dataCellStyle="Texto"/>
    <tableColumn id="2" xr3:uid="{00000000-0010-0000-0600-000002000000}" name="Aprovações" dataCellStyle="Texto"/>
    <tableColumn id="3" xr3:uid="{00000000-0010-0000-0600-000003000000}" name="Atribuída a" dataCellStyle="Texto"/>
    <tableColumn id="4" xr3:uid="{00000000-0010-0000-0600-000004000000}" name="Estimado_x000a_Início" dataCellStyle="Data"/>
    <tableColumn id="5" xr3:uid="{00000000-0010-0000-0600-000005000000}" name="Estimado _x000a_Término" dataCellStyle="Data"/>
    <tableColumn id="7" xr3:uid="{00000000-0010-0000-0600-000007000000}" name="Duração Estimada (em dias)" dataDxfId="23" dataCellStyle="Duração estimada">
      <calculatedColumnFormula>IF(COUNTA('Prot. TLD - Lot. Ludovico'!$F5,'Prot. TLD - Lot. Ludovico'!$G5)&lt;&gt;2,"",DAYS360('Prot. TLD - Lot. Ludovico'!$F5,'Prot. TLD - Lot. Ludovico'!$G5,FALSE))</calculatedColumnFormula>
    </tableColumn>
    <tableColumn id="8" xr3:uid="{00000000-0010-0000-0600-000008000000}" name="Real _x000a_Início" dataCellStyle="Início Real"/>
    <tableColumn id="9" xr3:uid="{00000000-0010-0000-0600-000009000000}" name="Real_x000a_Término" dataCellStyle="Data"/>
    <tableColumn id="14" xr3:uid="{00000000-0010-0000-0600-00000E000000}" name="Sinalizador para duração real acima/abaixo (em dias)S" dataDxfId="22" dataCellStyle="Sinalizador">
      <calculatedColumnFormula>IFERROR(IF(ControladorDeProjetos367[[#This Row],[Duração Real (em dias)]]=0,"",IF(ABS((ControladorDeProjetos367[[#This Row],[Duração Real (em dias)]]-ControladorDeProjetos367[[#This Row],[Duração Estimada (em dias)]])/ControladorDeProjetos367[[#This Row],[Duração Estimada (em dias)]])&gt;Sinalizador_Porcentagem,1,0)),"")</calculatedColumnFormula>
    </tableColumn>
    <tableColumn id="11" xr3:uid="{00000000-0010-0000-0600-00000B000000}" name="Duração Real (em dias)" dataCellStyle="Coluna cinza">
      <calculatedColumnFormula>IF(COUNTA('Prot. TLD - Lot. Ludovico'!$I5,'Prot. TLD - Lot. Ludovico'!$J5)&lt;&gt;2,"",DAYS360('Prot. TLD - Lot. Ludovico'!$I5,'Prot. TLD - Lot. Ludovico'!$J5,FALSE))</calculatedColumnFormula>
    </tableColumn>
    <tableColumn id="12" xr3:uid="{00000000-0010-0000-0600-00000C000000}" name="Anotações" dataDxfId="21" dataCellStyle="Texto"/>
    <tableColumn id="13" xr3:uid="{00000000-0010-0000-0600-00000D000000}" name="Situação"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ControladorDeProjetos510" displayName="ControladorDeProjetos510" ref="B4:M55" totalsRowShown="0" headerRowDxfId="13" tableBorderDxfId="12">
  <autoFilter ref="B4:M55" xr:uid="{00000000-0009-0000-0100-000009000000}"/>
  <tableColumns count="12">
    <tableColumn id="1" xr3:uid="{00000000-0010-0000-0300-000001000000}" name="Projeto + Protocolo" dataDxfId="11" dataCellStyle="Texto"/>
    <tableColumn id="10" xr3:uid="{00000000-0010-0000-0300-00000A000000}" name="Atividade" dataDxfId="10" dataCellStyle="Texto"/>
    <tableColumn id="2" xr3:uid="{00000000-0010-0000-0300-000002000000}" name="Aprovações" dataDxfId="9" dataCellStyle="Texto"/>
    <tableColumn id="3" xr3:uid="{00000000-0010-0000-0300-000003000000}" name="Atribuída a" dataDxfId="8" dataCellStyle="Texto"/>
    <tableColumn id="4" xr3:uid="{00000000-0010-0000-0300-000004000000}" name="Estimado_x000a_Início" dataDxfId="7" dataCellStyle="Data"/>
    <tableColumn id="5" xr3:uid="{00000000-0010-0000-0300-000005000000}" name="Estimado _x000a_Término" dataDxfId="6" dataCellStyle="Data"/>
    <tableColumn id="7" xr3:uid="{00000000-0010-0000-0300-000007000000}" name="Duração Estimada (em dias)" dataDxfId="5" dataCellStyle="Duração estimada">
      <calculatedColumnFormula>ControladorDeProjetos510[[#This Row],[Estimado 
Término]]-ControladorDeProjetos510[[#This Row],[Estimado
Início]]</calculatedColumnFormula>
    </tableColumn>
    <tableColumn id="8" xr3:uid="{00000000-0010-0000-0300-000008000000}" name="Real _x000a_Início" dataDxfId="4" dataCellStyle="Início Real"/>
    <tableColumn id="9" xr3:uid="{00000000-0010-0000-0300-000009000000}" name="Real_x000a_Término" dataDxfId="3" dataCellStyle="Data"/>
    <tableColumn id="11" xr3:uid="{00000000-0010-0000-0300-00000B000000}" name="Duração Real (em dias)" dataDxfId="2" dataCellStyle="Coluna cinza">
      <calculatedColumnFormula>ControladorDeProjetos510[[#This Row],[Real
Término]]-ControladorDeProjetos510[[#This Row],[Real 
Início]]</calculatedColumnFormula>
    </tableColumn>
    <tableColumn id="12" xr3:uid="{00000000-0010-0000-0300-00000C000000}" name="Anotações" dataDxfId="1" dataCellStyle="Texto"/>
    <tableColumn id="13" xr3:uid="{00000000-0010-0000-0300-00000D000000}" name="Situação" dataDxfId="0"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heme/theme1.xml><?xml version="1.0" encoding="utf-8"?>
<a:theme xmlns:a="http://schemas.openxmlformats.org/drawingml/2006/main" name="Office Theme">
  <a:themeElements>
    <a:clrScheme name="072_Project_Tracker">
      <a:dk1>
        <a:sysClr val="windowText" lastClr="000000"/>
      </a:dk1>
      <a:lt1>
        <a:sysClr val="window" lastClr="FFFFFF"/>
      </a:lt1>
      <a:dk2>
        <a:srgbClr val="4C483D"/>
      </a:dk2>
      <a:lt2>
        <a:srgbClr val="E4E3E2"/>
      </a:lt2>
      <a:accent1>
        <a:srgbClr val="FF5959"/>
      </a:accent1>
      <a:accent2>
        <a:srgbClr val="8DBB70"/>
      </a:accent2>
      <a:accent3>
        <a:srgbClr val="F0BB44"/>
      </a:accent3>
      <a:accent4>
        <a:srgbClr val="61ADBF"/>
      </a:accent4>
      <a:accent5>
        <a:srgbClr val="A3648B"/>
      </a:accent5>
      <a:accent6>
        <a:srgbClr val="F8943F"/>
      </a:accent6>
      <a:hlink>
        <a:srgbClr val="61ADBF"/>
      </a:hlink>
      <a:folHlink>
        <a:srgbClr val="A3648B"/>
      </a:folHlink>
    </a:clrScheme>
    <a:fontScheme name="085_Weekly_Time_Planner">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sysaga.decea.mil.br/gerenciarPreanalise/443664?visualizar=10" TargetMode="External"/><Relationship Id="rId4"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rgb="FF00233D"/>
    <pageSetUpPr fitToPage="1"/>
  </sheetPr>
  <dimension ref="B1:D13"/>
  <sheetViews>
    <sheetView showGridLines="0" zoomScaleNormal="100" workbookViewId="0">
      <pane ySplit="4" topLeftCell="A5" activePane="bottomLeft" state="frozen"/>
      <selection pane="bottomLeft" activeCell="B14" sqref="B14"/>
    </sheetView>
  </sheetViews>
  <sheetFormatPr defaultRowHeight="30" customHeight="1"/>
  <cols>
    <col min="1" max="1" width="2.625" customWidth="1"/>
    <col min="2" max="3" width="25.625" customWidth="1"/>
    <col min="4" max="4" width="126" customWidth="1"/>
  </cols>
  <sheetData>
    <row r="1" spans="2:4" ht="65.099999999999994" customHeight="1">
      <c r="B1" s="25" t="s">
        <v>0</v>
      </c>
    </row>
    <row r="2" spans="2:4" ht="20.25" customHeight="1"/>
    <row r="3" spans="2:4" ht="20.25" customHeight="1"/>
    <row r="4" spans="2:4" ht="50.1" customHeight="1">
      <c r="B4" s="21" t="s">
        <v>1</v>
      </c>
      <c r="C4" s="21" t="s">
        <v>2</v>
      </c>
      <c r="D4" s="22" t="s">
        <v>3</v>
      </c>
    </row>
    <row r="5" spans="2:4" ht="30" customHeight="1">
      <c r="B5" s="5" t="s">
        <v>4</v>
      </c>
      <c r="C5" s="5" t="s">
        <v>5</v>
      </c>
      <c r="D5" s="5" t="s">
        <v>6</v>
      </c>
    </row>
    <row r="6" spans="2:4" ht="30" customHeight="1">
      <c r="B6" s="5" t="s">
        <v>7</v>
      </c>
      <c r="C6" s="5" t="s">
        <v>5</v>
      </c>
      <c r="D6" s="5" t="s">
        <v>8</v>
      </c>
    </row>
    <row r="7" spans="2:4" ht="30" customHeight="1">
      <c r="B7" s="5" t="s">
        <v>9</v>
      </c>
      <c r="C7" s="5" t="s">
        <v>10</v>
      </c>
      <c r="D7" s="5" t="s">
        <v>11</v>
      </c>
    </row>
    <row r="8" spans="2:4" ht="30" customHeight="1">
      <c r="B8" s="5" t="s">
        <v>12</v>
      </c>
      <c r="C8" s="5" t="s">
        <v>13</v>
      </c>
      <c r="D8" s="5" t="s">
        <v>14</v>
      </c>
    </row>
    <row r="9" spans="2:4" ht="30" customHeight="1">
      <c r="B9" s="5" t="s">
        <v>15</v>
      </c>
      <c r="C9" s="5" t="s">
        <v>16</v>
      </c>
      <c r="D9" s="5" t="s">
        <v>17</v>
      </c>
    </row>
    <row r="10" spans="2:4" ht="30" customHeight="1">
      <c r="B10" s="5" t="s">
        <v>18</v>
      </c>
      <c r="C10" s="5" t="s">
        <v>10</v>
      </c>
      <c r="D10" s="5" t="s">
        <v>19</v>
      </c>
    </row>
    <row r="11" spans="2:4" ht="30" customHeight="1">
      <c r="B11" s="5" t="s">
        <v>20</v>
      </c>
      <c r="C11" s="5" t="s">
        <v>10</v>
      </c>
      <c r="D11" s="5" t="s">
        <v>21</v>
      </c>
    </row>
    <row r="12" spans="2:4" ht="30" customHeight="1">
      <c r="B12" s="5" t="s">
        <v>22</v>
      </c>
      <c r="C12" s="5" t="s">
        <v>16</v>
      </c>
      <c r="D12" s="5" t="s">
        <v>17</v>
      </c>
    </row>
    <row r="13" spans="2:4" ht="30" customHeight="1">
      <c r="B13" s="5" t="s">
        <v>23</v>
      </c>
      <c r="C13" s="5" t="s">
        <v>13</v>
      </c>
      <c r="D13" s="5" t="s">
        <v>24</v>
      </c>
    </row>
  </sheetData>
  <phoneticPr fontId="25" type="noConversion"/>
  <dataValidations count="3">
    <dataValidation allowBlank="1" showInputMessage="1" prompt="A planilha de configuração contém uma lista personalizável de categorias de projetos e nomes de funcionários. Essas listas são usadas como listas suspensas na planilha Controlador de projetos. As listas não precisam do mesmo número de itens entre elas " sqref="A1" xr:uid="{00000000-0002-0000-0800-000000000000}"/>
    <dataValidation allowBlank="1" showInputMessage="1" showErrorMessage="1" prompt="Insira os nomes dos funcionários nesta coluna que serão usados como opções na lista suspensa Atribuído a na planilha Controlador de Projetos" sqref="C4" xr:uid="{00000000-0002-0000-0800-000001000000}"/>
    <dataValidation allowBlank="1" showInputMessage="1" showErrorMessage="1" prompt="Insira as categorias de projetos nesta coluna que serão usadas como opções na lista suspensa Categoria na planilha Controlador de Projetos" sqref="B4" xr:uid="{00000000-0002-0000-0800-000002000000}"/>
  </dataValidations>
  <pageMargins left="0.7" right="0.7" top="0.75" bottom="0.75" header="0.3" footer="0.3"/>
  <pageSetup paperSize="9" fitToHeight="0"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autoPageBreaks="0" fitToPage="1"/>
  </sheetPr>
  <dimension ref="A1:O24"/>
  <sheetViews>
    <sheetView showGridLines="0" zoomScale="90" zoomScaleNormal="90" workbookViewId="0">
      <pane ySplit="4" topLeftCell="A18" activePane="bottomLeft" state="frozen"/>
      <selection pane="bottomLeft" activeCell="C5" sqref="C5"/>
    </sheetView>
  </sheetViews>
  <sheetFormatPr defaultColWidth="9" defaultRowHeight="30" customHeight="1"/>
  <cols>
    <col min="1" max="1" width="9.25" customWidth="1"/>
    <col min="2" max="2" width="23.5" customWidth="1"/>
    <col min="3" max="3" width="23.75" customWidth="1"/>
    <col min="4" max="4" width="20.625" customWidth="1"/>
    <col min="5" max="5" width="16.625" customWidth="1"/>
    <col min="6" max="6" width="13.75" style="1" customWidth="1"/>
    <col min="7" max="7" width="14.375" style="1" customWidth="1"/>
    <col min="8" max="8" width="10.75" customWidth="1"/>
    <col min="9" max="9" width="14.375" style="1" customWidth="1"/>
    <col min="10" max="10" width="14.875" style="1" customWidth="1"/>
    <col min="11" max="11" width="8.625" style="1" customWidth="1"/>
    <col min="12" max="12" width="13.625" customWidth="1"/>
    <col min="13" max="13" width="28.25" customWidth="1"/>
    <col min="14" max="14" width="24" customWidth="1"/>
    <col min="15" max="15" width="25.625" customWidth="1"/>
    <col min="16" max="16" width="2.625" customWidth="1"/>
  </cols>
  <sheetData>
    <row r="1" spans="1:15" ht="65.099999999999994" customHeight="1">
      <c r="B1" s="24" t="s">
        <v>25</v>
      </c>
      <c r="C1" s="4"/>
      <c r="J1" s="130"/>
      <c r="K1" s="130"/>
      <c r="L1" s="130"/>
      <c r="M1" s="130"/>
      <c r="N1" s="130"/>
      <c r="O1" s="130"/>
    </row>
    <row r="2" spans="1:15" ht="20.25" customHeight="1">
      <c r="A2" s="2"/>
      <c r="B2" s="4"/>
      <c r="C2" s="4"/>
      <c r="D2" s="3" t="s">
        <v>26</v>
      </c>
      <c r="E2" s="20"/>
      <c r="J2" s="130"/>
      <c r="K2" s="130"/>
      <c r="L2" s="130"/>
      <c r="M2" s="130"/>
      <c r="N2" s="130"/>
      <c r="O2" s="130"/>
    </row>
    <row r="3" spans="1:15" ht="20.25" customHeight="1">
      <c r="J3" s="130"/>
      <c r="K3" s="130"/>
      <c r="L3" s="130"/>
      <c r="M3" s="130"/>
      <c r="N3" s="130"/>
      <c r="O3" s="130"/>
    </row>
    <row r="4" spans="1:15" ht="54.95" customHeight="1">
      <c r="A4" s="15" t="s">
        <v>27</v>
      </c>
      <c r="B4" s="15" t="s">
        <v>28</v>
      </c>
      <c r="C4" s="15" t="s">
        <v>29</v>
      </c>
      <c r="D4" s="15" t="s">
        <v>1</v>
      </c>
      <c r="E4" s="15" t="s">
        <v>30</v>
      </c>
      <c r="F4" s="16" t="s">
        <v>31</v>
      </c>
      <c r="G4" s="16" t="s">
        <v>32</v>
      </c>
      <c r="H4" s="17" t="s">
        <v>33</v>
      </c>
      <c r="I4" s="18" t="s">
        <v>34</v>
      </c>
      <c r="J4" s="16" t="s">
        <v>35</v>
      </c>
      <c r="K4" s="23" t="s">
        <v>36</v>
      </c>
      <c r="L4" s="19" t="s">
        <v>37</v>
      </c>
      <c r="M4" s="15" t="s">
        <v>38</v>
      </c>
      <c r="N4" s="15" t="s">
        <v>39</v>
      </c>
    </row>
    <row r="5" spans="1:15" ht="30" customHeight="1">
      <c r="A5" s="27" t="s">
        <v>40</v>
      </c>
      <c r="B5" s="6" t="s">
        <v>41</v>
      </c>
      <c r="C5" s="6" t="s">
        <v>42</v>
      </c>
      <c r="D5" s="6" t="s">
        <v>4</v>
      </c>
      <c r="E5" s="6" t="s">
        <v>13</v>
      </c>
      <c r="F5" s="7">
        <v>45224</v>
      </c>
      <c r="G5" s="7">
        <v>45338</v>
      </c>
      <c r="H5" s="13">
        <f>IF(COUNTA('Prot. TLD - Horizont'!$F5,'Prot. TLD - Horizont'!$G5)&lt;&gt;2,"",DAYS360('Prot. TLD - Horizont'!$F5,'Prot. TLD - Horizont'!$G5,FALSE))</f>
        <v>111</v>
      </c>
      <c r="I5" s="8">
        <v>45224</v>
      </c>
      <c r="J5" s="7">
        <v>45366</v>
      </c>
      <c r="K5" s="14">
        <f>IFERROR(IF(ControladorDeProjetos5[[#This Row],[Duração Real (em dias)]]=0,"",IF(ABS((ControladorDeProjetos5[[#This Row],[Duração Real (em dias)]]-ControladorDeProjetos5[[#This Row],[Duração Estimada (em dias)]])/ControladorDeProjetos5[[#This Row],[Duração Estimada (em dias)]])&gt;Sinalizador_Porcentagem,1,0)),"")</f>
        <v>1</v>
      </c>
      <c r="L5" s="9">
        <f>IF(COUNTA('Prot. TLD - Horizont'!$I5,'Prot. TLD - Horizont'!$J5)&lt;&gt;2,"",DAYS360('Prot. TLD - Horizont'!$I5,'Prot. TLD - Horizont'!$J5,FALSE))</f>
        <v>140</v>
      </c>
      <c r="M5" s="6" t="s">
        <v>43</v>
      </c>
      <c r="N5" s="6" t="s">
        <v>44</v>
      </c>
    </row>
    <row r="6" spans="1:15" ht="30" customHeight="1">
      <c r="A6" s="27" t="s">
        <v>40</v>
      </c>
      <c r="B6" s="6" t="s">
        <v>45</v>
      </c>
      <c r="C6" s="6" t="s">
        <v>46</v>
      </c>
      <c r="D6" s="6" t="s">
        <v>4</v>
      </c>
      <c r="E6" s="6" t="s">
        <v>13</v>
      </c>
      <c r="F6" s="7">
        <v>45215</v>
      </c>
      <c r="G6" s="7">
        <v>45280</v>
      </c>
      <c r="H6" s="13">
        <f>IF(COUNTA('Prot. TLD - Horizont'!$F6,'Prot. TLD - Horizont'!$G6)&lt;&gt;2,"",DAYS360('Prot. TLD - Horizont'!$F6,'Prot. TLD - Horizont'!$G6,FALSE))</f>
        <v>64</v>
      </c>
      <c r="I6" s="8">
        <v>45215</v>
      </c>
      <c r="J6" s="7">
        <v>45280</v>
      </c>
      <c r="K6" s="14">
        <f>IFERROR(IF(ControladorDeProjetos5[[#This Row],[Duração Real (em dias)]]=0,"",IF(ABS((ControladorDeProjetos5[[#This Row],[Duração Real (em dias)]]-ControladorDeProjetos5[[#This Row],[Duração Estimada (em dias)]])/ControladorDeProjetos5[[#This Row],[Duração Estimada (em dias)]])&gt;Sinalizador_Porcentagem,1,0)),"")</f>
        <v>0</v>
      </c>
      <c r="L6" s="9">
        <f>IF(COUNTA('Prot. TLD - Horizont'!$I6,'Prot. TLD - Horizont'!$J6)&lt;&gt;2,"",DAYS360('Prot. TLD - Horizont'!$I6,'Prot. TLD - Horizont'!$J6,FALSE))</f>
        <v>64</v>
      </c>
      <c r="M6" s="6" t="s">
        <v>47</v>
      </c>
      <c r="N6" s="6" t="s">
        <v>48</v>
      </c>
    </row>
    <row r="7" spans="1:15" ht="30" customHeight="1">
      <c r="A7" s="27" t="s">
        <v>40</v>
      </c>
      <c r="B7" s="6" t="s">
        <v>49</v>
      </c>
      <c r="C7" s="6" t="s">
        <v>50</v>
      </c>
      <c r="D7" s="6" t="s">
        <v>4</v>
      </c>
      <c r="E7" s="6" t="s">
        <v>13</v>
      </c>
      <c r="F7" s="7">
        <v>45307</v>
      </c>
      <c r="G7" s="7">
        <v>45314</v>
      </c>
      <c r="H7" s="13">
        <f>IF(COUNTA('Prot. TLD - Horizont'!$F7,'Prot. TLD - Horizont'!$G7)&lt;&gt;2,"",DAYS360('Prot. TLD - Horizont'!$F7,'Prot. TLD - Horizont'!$G7,FALSE))</f>
        <v>7</v>
      </c>
      <c r="I7" s="8">
        <v>45307</v>
      </c>
      <c r="J7" s="7">
        <v>45314</v>
      </c>
      <c r="K7" s="14">
        <f>IFERROR(IF(ControladorDeProjetos5[[#This Row],[Duração Real (em dias)]]=0,"",IF(ABS((ControladorDeProjetos5[[#This Row],[Duração Real (em dias)]]-ControladorDeProjetos5[[#This Row],[Duração Estimada (em dias)]])/ControladorDeProjetos5[[#This Row],[Duração Estimada (em dias)]])&gt;Sinalizador_Porcentagem,1,0)),"")</f>
        <v>0</v>
      </c>
      <c r="L7" s="9">
        <f>IF(COUNTA('Prot. TLD - Horizont'!$I7,'Prot. TLD - Horizont'!$J7)&lt;&gt;2,"",DAYS360('Prot. TLD - Horizont'!$I7,'Prot. TLD - Horizont'!$J7,FALSE))</f>
        <v>7</v>
      </c>
      <c r="M7" s="6" t="s">
        <v>51</v>
      </c>
      <c r="N7" s="6" t="s">
        <v>52</v>
      </c>
    </row>
    <row r="8" spans="1:15" ht="64.900000000000006" customHeight="1">
      <c r="A8" s="27" t="s">
        <v>40</v>
      </c>
      <c r="B8" s="6" t="s">
        <v>53</v>
      </c>
      <c r="C8" s="6" t="s">
        <v>46</v>
      </c>
      <c r="D8" s="6" t="s">
        <v>7</v>
      </c>
      <c r="E8" s="6" t="s">
        <v>13</v>
      </c>
      <c r="F8" s="7">
        <v>45266</v>
      </c>
      <c r="G8" s="7">
        <v>44983</v>
      </c>
      <c r="H8" s="13">
        <f>IF(COUNTA('Prot. TLD - Horizont'!$F8,'Prot. TLD - Horizont'!$G8)&lt;&gt;2,"",DAYS360('Prot. TLD - Horizont'!$F8,'Prot. TLD - Horizont'!$G8,FALSE))</f>
        <v>-280</v>
      </c>
      <c r="I8" s="8">
        <v>45266</v>
      </c>
      <c r="J8" s="7">
        <v>45350</v>
      </c>
      <c r="K8" s="14">
        <f>IFERROR(IF(ControladorDeProjetos5[[#This Row],[Duração Real (em dias)]]=0,"",IF(ABS((ControladorDeProjetos5[[#This Row],[Duração Real (em dias)]]-ControladorDeProjetos5[[#This Row],[Duração Estimada (em dias)]])/ControladorDeProjetos5[[#This Row],[Duração Estimada (em dias)]])&gt;Sinalizador_Porcentagem,1,0)),"")</f>
        <v>1</v>
      </c>
      <c r="L8" s="9">
        <f>IF(COUNTA('Prot. TLD - Horizont'!$I8,'Prot. TLD - Horizont'!$J8)&lt;&gt;2,"",DAYS360('Prot. TLD - Horizont'!$I8,'Prot. TLD - Horizont'!$J8,FALSE))</f>
        <v>82</v>
      </c>
      <c r="M8" s="6" t="s">
        <v>54</v>
      </c>
      <c r="N8" s="6" t="s">
        <v>55</v>
      </c>
    </row>
    <row r="9" spans="1:15" ht="62.45" customHeight="1">
      <c r="A9" s="27" t="s">
        <v>40</v>
      </c>
      <c r="B9" s="6" t="s">
        <v>56</v>
      </c>
      <c r="C9" s="6" t="s">
        <v>57</v>
      </c>
      <c r="D9" s="6" t="s">
        <v>9</v>
      </c>
      <c r="E9" s="6" t="s">
        <v>13</v>
      </c>
      <c r="F9" s="7">
        <v>45308</v>
      </c>
      <c r="G9" s="7">
        <v>45317</v>
      </c>
      <c r="H9" s="13">
        <f>IF(COUNTA('Prot. TLD - Horizont'!$F9,'Prot. TLD - Horizont'!$G9)&lt;&gt;2,"",DAYS360('Prot. TLD - Horizont'!$F9,'Prot. TLD - Horizont'!$G9,FALSE))</f>
        <v>9</v>
      </c>
      <c r="I9" s="8">
        <v>45309</v>
      </c>
      <c r="J9" s="7">
        <v>45320</v>
      </c>
      <c r="K9" s="14">
        <f>IFERROR(IF(ControladorDeProjetos5[[#This Row],[Duração Real (em dias)]]=0,"",IF(ABS((ControladorDeProjetos5[[#This Row],[Duração Real (em dias)]]-ControladorDeProjetos5[[#This Row],[Duração Estimada (em dias)]])/ControladorDeProjetos5[[#This Row],[Duração Estimada (em dias)]])&gt;Sinalizador_Porcentagem,1,0)),"")</f>
        <v>1</v>
      </c>
      <c r="L9" s="9">
        <f>IF(COUNTA('Prot. TLD - Horizont'!$I9,'Prot. TLD - Horizont'!$J9)&lt;&gt;2,"",DAYS360('Prot. TLD - Horizont'!$I9,'Prot. TLD - Horizont'!$J9,FALSE))</f>
        <v>11</v>
      </c>
      <c r="M9" s="6" t="s">
        <v>58</v>
      </c>
      <c r="N9" s="6" t="s">
        <v>59</v>
      </c>
    </row>
    <row r="10" spans="1:15" ht="30" customHeight="1">
      <c r="A10" s="27" t="s">
        <v>40</v>
      </c>
      <c r="B10" s="6" t="s">
        <v>60</v>
      </c>
      <c r="C10" s="6" t="s">
        <v>61</v>
      </c>
      <c r="D10" s="6" t="s">
        <v>9</v>
      </c>
      <c r="E10" s="6" t="s">
        <v>13</v>
      </c>
      <c r="F10" s="7">
        <v>45322</v>
      </c>
      <c r="G10" s="7">
        <v>45366</v>
      </c>
      <c r="H10" s="13">
        <f>IF(COUNTA('Prot. TLD - Horizont'!$F10,'Prot. TLD - Horizont'!$G10)&lt;&gt;2,"",DAYS360('Prot. TLD - Horizont'!$F10,'Prot. TLD - Horizont'!$G10,FALSE))</f>
        <v>45</v>
      </c>
      <c r="I10" s="8">
        <v>45322</v>
      </c>
      <c r="J10" s="7">
        <v>45372</v>
      </c>
      <c r="K10" s="14">
        <f>IFERROR(IF(ControladorDeProjetos5[[#This Row],[Duração Real (em dias)]]=0,"",IF(ABS((ControladorDeProjetos5[[#This Row],[Duração Real (em dias)]]-ControladorDeProjetos5[[#This Row],[Duração Estimada (em dias)]])/ControladorDeProjetos5[[#This Row],[Duração Estimada (em dias)]])&gt;Sinalizador_Porcentagem,1,0)),"")</f>
        <v>1</v>
      </c>
      <c r="L10" s="9">
        <f>IF(COUNTA('Prot. TLD - Horizont'!$I10,'Prot. TLD - Horizont'!$J10)&lt;&gt;2,"",DAYS360('Prot. TLD - Horizont'!$I10,'Prot. TLD - Horizont'!$J10,FALSE))</f>
        <v>51</v>
      </c>
      <c r="M10" s="6" t="s">
        <v>62</v>
      </c>
      <c r="N10" s="6" t="s">
        <v>58</v>
      </c>
    </row>
    <row r="11" spans="1:15" ht="49.5">
      <c r="A11" s="27" t="s">
        <v>63</v>
      </c>
      <c r="B11" s="10" t="s">
        <v>64</v>
      </c>
      <c r="C11" s="10" t="s">
        <v>65</v>
      </c>
      <c r="D11" s="10" t="s">
        <v>20</v>
      </c>
      <c r="E11" s="6" t="s">
        <v>13</v>
      </c>
      <c r="F11" s="11">
        <v>45317</v>
      </c>
      <c r="G11" s="11">
        <v>45348</v>
      </c>
      <c r="H11" s="13">
        <f>IF(COUNTA('Prot. TLD - Horizont'!$F11,'Prot. TLD - Horizont'!$G11)&lt;&gt;2,"",DAYS360('Prot. TLD - Horizont'!$F11,'Prot. TLD - Horizont'!$G11,FALSE))</f>
        <v>30</v>
      </c>
      <c r="I11" s="8">
        <v>45317</v>
      </c>
      <c r="J11" s="11"/>
      <c r="K11" s="14" t="str">
        <f>IFERROR(IF(ControladorDeProjetos5[[#This Row],[Duração Real (em dias)]]=0,"",IF(ABS((ControladorDeProjetos5[[#This Row],[Duração Real (em dias)]]-ControladorDeProjetos5[[#This Row],[Duração Estimada (em dias)]])/ControladorDeProjetos5[[#This Row],[Duração Estimada (em dias)]])&gt;Sinalizador_Porcentagem,1,0)),"")</f>
        <v/>
      </c>
      <c r="L11" s="12" t="str">
        <f>IF(COUNTA('Prot. TLD - Horizont'!$I11,'Prot. TLD - Horizont'!$J11)&lt;&gt;2,"",DAYS360('Prot. TLD - Horizont'!$I11,'Prot. TLD - Horizont'!$J11,FALSE))</f>
        <v/>
      </c>
      <c r="M11" s="10" t="s">
        <v>66</v>
      </c>
      <c r="N11" s="10" t="s">
        <v>58</v>
      </c>
    </row>
    <row r="12" spans="1:15" ht="49.5">
      <c r="A12" s="27" t="s">
        <v>63</v>
      </c>
      <c r="B12" s="5" t="s">
        <v>67</v>
      </c>
      <c r="C12" s="5" t="s">
        <v>68</v>
      </c>
      <c r="D12" s="5" t="s">
        <v>22</v>
      </c>
      <c r="E12" s="5" t="s">
        <v>13</v>
      </c>
      <c r="F12" s="11">
        <v>45321</v>
      </c>
      <c r="G12" s="11">
        <v>45350</v>
      </c>
      <c r="H12" s="13">
        <f>IF(COUNTA('Prot. TLD - Horizont'!$F12,'Prot. TLD - Horizont'!$G12)&lt;&gt;2,"",DAYS360('Prot. TLD - Horizont'!$F12,'Prot. TLD - Horizont'!$G12,FALSE))</f>
        <v>28</v>
      </c>
      <c r="I12" s="8">
        <v>45321</v>
      </c>
      <c r="J12" s="11"/>
      <c r="K12" s="14" t="str">
        <f>IFERROR(IF(ControladorDeProjetos5[[#This Row],[Duração Real (em dias)]]=0,"",IF(ABS((ControladorDeProjetos5[[#This Row],[Duração Real (em dias)]]-ControladorDeProjetos5[[#This Row],[Duração Estimada (em dias)]])/ControladorDeProjetos5[[#This Row],[Duração Estimada (em dias)]])&gt;Sinalizador_Porcentagem,1,0)),"")</f>
        <v/>
      </c>
      <c r="L12" s="12" t="str">
        <f>IF(COUNTA('Prot. TLD - Horizont'!$I12,'Prot. TLD - Horizont'!$J12)&lt;&gt;2,"",DAYS360('Prot. TLD - Horizont'!$I12,'Prot. TLD - Horizont'!$J12,FALSE))</f>
        <v/>
      </c>
      <c r="M12" s="5" t="s">
        <v>69</v>
      </c>
      <c r="N12" s="5" t="s">
        <v>70</v>
      </c>
    </row>
    <row r="13" spans="1:15" ht="33">
      <c r="A13" s="27" t="s">
        <v>40</v>
      </c>
      <c r="B13" s="5" t="s">
        <v>71</v>
      </c>
      <c r="C13" s="5" t="s">
        <v>72</v>
      </c>
      <c r="D13" s="5" t="s">
        <v>73</v>
      </c>
      <c r="E13" s="5" t="s">
        <v>13</v>
      </c>
      <c r="F13" s="11">
        <v>45324</v>
      </c>
      <c r="G13" s="11">
        <v>45353</v>
      </c>
      <c r="H13" s="13">
        <f>IF(COUNTA('Prot. TLD - Horizont'!$F13,'Prot. TLD - Horizont'!$G13)&lt;&gt;2,"",DAYS360('Prot. TLD - Horizont'!$F13,'Prot. TLD - Horizont'!$G13,FALSE))</f>
        <v>30</v>
      </c>
      <c r="I13" s="8">
        <v>45324</v>
      </c>
      <c r="J13" s="11">
        <v>45351</v>
      </c>
      <c r="K13" s="14">
        <f>IFERROR(IF(ControladorDeProjetos5[[#This Row],[Duração Real (em dias)]]=0,"",IF(ABS((ControladorDeProjetos5[[#This Row],[Duração Real (em dias)]]-ControladorDeProjetos5[[#This Row],[Duração Estimada (em dias)]])/ControladorDeProjetos5[[#This Row],[Duração Estimada (em dias)]])&gt;Sinalizador_Porcentagem,1,0)),"")</f>
        <v>1</v>
      </c>
      <c r="L13" s="12">
        <f>IF(COUNTA('Prot. TLD - Horizont'!$I13,'Prot. TLD - Horizont'!$J13)&lt;&gt;2,"",DAYS360('Prot. TLD - Horizont'!$I13,'Prot. TLD - Horizont'!$J13,FALSE))</f>
        <v>27</v>
      </c>
      <c r="M13" s="5" t="s">
        <v>74</v>
      </c>
      <c r="N13" s="5" t="s">
        <v>58</v>
      </c>
    </row>
    <row r="14" spans="1:15" ht="30" customHeight="1">
      <c r="A14" s="27" t="s">
        <v>40</v>
      </c>
      <c r="B14" s="5" t="s">
        <v>75</v>
      </c>
      <c r="C14" s="5" t="s">
        <v>72</v>
      </c>
      <c r="D14" s="5" t="s">
        <v>73</v>
      </c>
      <c r="E14" s="5" t="s">
        <v>13</v>
      </c>
      <c r="F14" s="11">
        <v>45324</v>
      </c>
      <c r="G14" s="11">
        <v>45353</v>
      </c>
      <c r="H14" s="13">
        <f>IF(COUNTA('Prot. TLD - Horizont'!$F14,'Prot. TLD - Horizont'!$G14)&lt;&gt;2,"",DAYS360('Prot. TLD - Horizont'!$F14,'Prot. TLD - Horizont'!$G14,FALSE))</f>
        <v>30</v>
      </c>
      <c r="I14" s="8">
        <v>45324</v>
      </c>
      <c r="J14" s="11">
        <v>45351</v>
      </c>
      <c r="K14" s="14">
        <f>IFERROR(IF(ControladorDeProjetos5[[#This Row],[Duração Real (em dias)]]=0,"",IF(ABS((ControladorDeProjetos5[[#This Row],[Duração Real (em dias)]]-ControladorDeProjetos5[[#This Row],[Duração Estimada (em dias)]])/ControladorDeProjetos5[[#This Row],[Duração Estimada (em dias)]])&gt;Sinalizador_Porcentagem,1,0)),"")</f>
        <v>1</v>
      </c>
      <c r="L14" s="12">
        <f>IF(COUNTA('Prot. TLD - Horizont'!$I14,'Prot. TLD - Horizont'!$J14)&lt;&gt;2,"",DAYS360('Prot. TLD - Horizont'!$I14,'Prot. TLD - Horizont'!$J14,FALSE))</f>
        <v>27</v>
      </c>
      <c r="M14" s="5" t="s">
        <v>74</v>
      </c>
      <c r="N14" s="5" t="s">
        <v>58</v>
      </c>
    </row>
    <row r="15" spans="1:15" ht="30" customHeight="1">
      <c r="A15" s="27" t="s">
        <v>40</v>
      </c>
      <c r="B15" s="5" t="s">
        <v>76</v>
      </c>
      <c r="C15" s="5" t="s">
        <v>72</v>
      </c>
      <c r="D15" s="5" t="s">
        <v>73</v>
      </c>
      <c r="E15" s="5" t="s">
        <v>13</v>
      </c>
      <c r="F15" s="11">
        <v>45324</v>
      </c>
      <c r="G15" s="11">
        <v>45353</v>
      </c>
      <c r="H15" s="13">
        <f>IF(COUNTA('Prot. TLD - Horizont'!$F15,'Prot. TLD - Horizont'!$G15)&lt;&gt;2,"",DAYS360('Prot. TLD - Horizont'!$F15,'Prot. TLD - Horizont'!$G15,FALSE))</f>
        <v>30</v>
      </c>
      <c r="I15" s="8">
        <v>45324</v>
      </c>
      <c r="J15" s="11">
        <v>45351</v>
      </c>
      <c r="K15" s="14">
        <f>IFERROR(IF(ControladorDeProjetos5[[#This Row],[Duração Real (em dias)]]=0,"",IF(ABS((ControladorDeProjetos5[[#This Row],[Duração Real (em dias)]]-ControladorDeProjetos5[[#This Row],[Duração Estimada (em dias)]])/ControladorDeProjetos5[[#This Row],[Duração Estimada (em dias)]])&gt;Sinalizador_Porcentagem,1,0)),"")</f>
        <v>1</v>
      </c>
      <c r="L15" s="12">
        <f>IF(COUNTA('Prot. TLD - Horizont'!$I15,'Prot. TLD - Horizont'!$J15)&lt;&gt;2,"",DAYS360('Prot. TLD - Horizont'!$I15,'Prot. TLD - Horizont'!$J15,FALSE))</f>
        <v>27</v>
      </c>
      <c r="M15" s="5" t="s">
        <v>74</v>
      </c>
      <c r="N15" s="5" t="s">
        <v>58</v>
      </c>
    </row>
    <row r="16" spans="1:15" ht="30" customHeight="1">
      <c r="A16" s="27" t="s">
        <v>40</v>
      </c>
      <c r="B16" s="5" t="s">
        <v>77</v>
      </c>
      <c r="C16" s="5" t="s">
        <v>72</v>
      </c>
      <c r="D16" s="5" t="s">
        <v>73</v>
      </c>
      <c r="E16" s="5" t="s">
        <v>13</v>
      </c>
      <c r="F16" s="11">
        <v>45324</v>
      </c>
      <c r="G16" s="11">
        <v>45353</v>
      </c>
      <c r="H16" s="13">
        <f>IF(COUNTA('Prot. TLD - Horizont'!$F16,'Prot. TLD - Horizont'!$G16)&lt;&gt;2,"",DAYS360('Prot. TLD - Horizont'!$F16,'Prot. TLD - Horizont'!$G16,FALSE))</f>
        <v>30</v>
      </c>
      <c r="I16" s="8">
        <v>45324</v>
      </c>
      <c r="J16" s="11">
        <v>45351</v>
      </c>
      <c r="K16" s="14">
        <f>IFERROR(IF(ControladorDeProjetos5[[#This Row],[Duração Real (em dias)]]=0,"",IF(ABS((ControladorDeProjetos5[[#This Row],[Duração Real (em dias)]]-ControladorDeProjetos5[[#This Row],[Duração Estimada (em dias)]])/ControladorDeProjetos5[[#This Row],[Duração Estimada (em dias)]])&gt;Sinalizador_Porcentagem,1,0)),"")</f>
        <v>1</v>
      </c>
      <c r="L16" s="12">
        <f>IF(COUNTA('Prot. TLD - Horizont'!$I16,'Prot. TLD - Horizont'!$J16)&lt;&gt;2,"",DAYS360('Prot. TLD - Horizont'!$I16,'Prot. TLD - Horizont'!$J16,FALSE))</f>
        <v>27</v>
      </c>
      <c r="M16" s="5" t="s">
        <v>74</v>
      </c>
      <c r="N16" s="5" t="s">
        <v>58</v>
      </c>
    </row>
    <row r="17" spans="1:14" ht="30" customHeight="1">
      <c r="A17" s="27" t="s">
        <v>63</v>
      </c>
      <c r="B17" s="5" t="s">
        <v>78</v>
      </c>
      <c r="C17" s="5" t="s">
        <v>79</v>
      </c>
      <c r="D17" s="5" t="s">
        <v>18</v>
      </c>
      <c r="E17" s="5" t="s">
        <v>13</v>
      </c>
      <c r="F17" s="11">
        <v>45355</v>
      </c>
      <c r="G17" s="11">
        <v>45363</v>
      </c>
      <c r="H17" s="13">
        <f>IF(COUNTA('Prot. TLD - Horizont'!$F17,'Prot. TLD - Horizont'!$G17)&lt;&gt;2,"",DAYS360('Prot. TLD - Horizont'!$F17,'Prot. TLD - Horizont'!$G17,FALSE))</f>
        <v>8</v>
      </c>
      <c r="I17" s="8">
        <v>45355</v>
      </c>
      <c r="J17" s="11">
        <v>45369</v>
      </c>
      <c r="K17" s="14">
        <f>IFERROR(IF(ControladorDeProjetos5[[#This Row],[Duração Real (em dias)]]=0,"",IF(ABS((ControladorDeProjetos5[[#This Row],[Duração Real (em dias)]]-ControladorDeProjetos5[[#This Row],[Duração Estimada (em dias)]])/ControladorDeProjetos5[[#This Row],[Duração Estimada (em dias)]])&gt;Sinalizador_Porcentagem,1,0)),"")</f>
        <v>1</v>
      </c>
      <c r="L17" s="12">
        <f>IF(COUNTA('Prot. TLD - Horizont'!$I17,'Prot. TLD - Horizont'!$J17)&lt;&gt;2,"",DAYS360('Prot. TLD - Horizont'!$I17,'Prot. TLD - Horizont'!$J17,FALSE))</f>
        <v>14</v>
      </c>
      <c r="M17" s="5" t="s">
        <v>80</v>
      </c>
      <c r="N17" s="5" t="s">
        <v>58</v>
      </c>
    </row>
    <row r="18" spans="1:14" ht="30" customHeight="1">
      <c r="A18" s="27" t="s">
        <v>40</v>
      </c>
      <c r="B18" s="5" t="s">
        <v>81</v>
      </c>
      <c r="C18" s="5" t="s">
        <v>82</v>
      </c>
      <c r="D18" s="5" t="s">
        <v>7</v>
      </c>
      <c r="E18" s="5" t="s">
        <v>13</v>
      </c>
      <c r="F18" s="11">
        <v>45366</v>
      </c>
      <c r="G18" s="11">
        <v>45379</v>
      </c>
      <c r="H18" s="13">
        <f>IF(COUNTA('Prot. TLD - Horizont'!$F18,'Prot. TLD - Horizont'!$G18)&lt;&gt;2,"",DAYS360('Prot. TLD - Horizont'!$F18,'Prot. TLD - Horizont'!$G18,FALSE))</f>
        <v>13</v>
      </c>
      <c r="I18" s="8">
        <v>45366</v>
      </c>
      <c r="J18" s="11">
        <v>45411</v>
      </c>
      <c r="K18" s="14">
        <f>IFERROR(IF(ControladorDeProjetos5[[#This Row],[Duração Real (em dias)]]=0,"",IF(ABS((ControladorDeProjetos5[[#This Row],[Duração Real (em dias)]]-ControladorDeProjetos5[[#This Row],[Duração Estimada (em dias)]])/ControladorDeProjetos5[[#This Row],[Duração Estimada (em dias)]])&gt;Sinalizador_Porcentagem,1,0)),"")</f>
        <v>1</v>
      </c>
      <c r="L18" s="12">
        <f>IF(COUNTA('Prot. TLD - Horizont'!$I18,'Prot. TLD - Horizont'!$J18)&lt;&gt;2,"",DAYS360('Prot. TLD - Horizont'!$I18,'Prot. TLD - Horizont'!$J18,FALSE))</f>
        <v>44</v>
      </c>
      <c r="M18" s="5" t="s">
        <v>83</v>
      </c>
      <c r="N18" s="5" t="s">
        <v>84</v>
      </c>
    </row>
    <row r="19" spans="1:14" ht="30" customHeight="1">
      <c r="A19" s="27" t="s">
        <v>40</v>
      </c>
      <c r="B19" s="5" t="s">
        <v>85</v>
      </c>
      <c r="C19" s="5" t="s">
        <v>79</v>
      </c>
      <c r="D19" s="5" t="s">
        <v>18</v>
      </c>
      <c r="E19" s="5" t="s">
        <v>13</v>
      </c>
      <c r="F19" s="11">
        <v>45369</v>
      </c>
      <c r="G19" s="11">
        <v>45376</v>
      </c>
      <c r="H19" s="13">
        <f>IF(COUNTA('Prot. TLD - Horizont'!$F19,'Prot. TLD - Horizont'!$G19)&lt;&gt;2,"",DAYS360('Prot. TLD - Horizont'!$F19,'Prot. TLD - Horizont'!$G19,FALSE))</f>
        <v>7</v>
      </c>
      <c r="I19" s="8">
        <v>45369</v>
      </c>
      <c r="J19" s="11">
        <v>45398</v>
      </c>
      <c r="K19" s="14">
        <f>IFERROR(IF(ControladorDeProjetos5[[#This Row],[Duração Real (em dias)]]=0,"",IF(ABS((ControladorDeProjetos5[[#This Row],[Duração Real (em dias)]]-ControladorDeProjetos5[[#This Row],[Duração Estimada (em dias)]])/ControladorDeProjetos5[[#This Row],[Duração Estimada (em dias)]])&gt;Sinalizador_Porcentagem,1,0)),"")</f>
        <v>1</v>
      </c>
      <c r="L19" s="12">
        <f>IF(COUNTA('Prot. TLD - Horizont'!$I19,'Prot. TLD - Horizont'!$J19)&lt;&gt;2,"",DAYS360('Prot. TLD - Horizont'!$I19,'Prot. TLD - Horizont'!$J19,FALSE))</f>
        <v>28</v>
      </c>
      <c r="M19" s="5" t="s">
        <v>86</v>
      </c>
      <c r="N19" s="5" t="s">
        <v>87</v>
      </c>
    </row>
    <row r="20" spans="1:14" ht="30" customHeight="1">
      <c r="A20" s="27" t="s">
        <v>88</v>
      </c>
      <c r="B20" s="86">
        <v>20259368532011</v>
      </c>
      <c r="C20" s="5" t="s">
        <v>89</v>
      </c>
      <c r="D20" s="5" t="s">
        <v>18</v>
      </c>
      <c r="E20" s="5" t="s">
        <v>16</v>
      </c>
      <c r="F20" s="11">
        <v>45799</v>
      </c>
      <c r="G20" s="11">
        <v>45834</v>
      </c>
      <c r="H20" s="13">
        <f>IF(COUNTA('Prot. TLD - Horizont'!$F20,'Prot. TLD - Horizont'!$G20)&lt;&gt;2,"",DAYS360('Prot. TLD - Horizont'!$F20,'Prot. TLD - Horizont'!$G20,FALSE))</f>
        <v>34</v>
      </c>
      <c r="I20" s="8">
        <v>45799</v>
      </c>
      <c r="J20" s="11"/>
      <c r="K20" s="14" t="str">
        <f>IFERROR(IF(ControladorDeProjetos5[[#This Row],[Duração Real (em dias)]]=0,"",IF(ABS((ControladorDeProjetos5[[#This Row],[Duração Real (em dias)]]-ControladorDeProjetos5[[#This Row],[Duração Estimada (em dias)]])/ControladorDeProjetos5[[#This Row],[Duração Estimada (em dias)]])&gt;Sinalizador_Porcentagem,1,0)),"")</f>
        <v/>
      </c>
      <c r="L20" s="12" t="str">
        <f>IF(COUNTA('Prot. TLD - Horizont'!$I20,'Prot. TLD - Horizont'!$J20)&lt;&gt;2,"",DAYS360('Prot. TLD - Horizont'!$I20,'Prot. TLD - Horizont'!$J20,FALSE))</f>
        <v/>
      </c>
      <c r="M20" s="5" t="s">
        <v>90</v>
      </c>
      <c r="N20" s="5"/>
    </row>
    <row r="21" spans="1:14" ht="30" customHeight="1">
      <c r="A21" s="27" t="s">
        <v>88</v>
      </c>
      <c r="B21" s="5" t="s">
        <v>91</v>
      </c>
      <c r="C21" s="5" t="s">
        <v>92</v>
      </c>
      <c r="D21" s="5" t="s">
        <v>15</v>
      </c>
      <c r="E21" s="5" t="s">
        <v>16</v>
      </c>
      <c r="F21" s="11">
        <v>45875</v>
      </c>
      <c r="G21" s="11">
        <v>45917</v>
      </c>
      <c r="H21" s="13">
        <f>IF(COUNTA('Prot. TLD - Horizont'!$F21,'Prot. TLD - Horizont'!$G21)&lt;&gt;2,"",DAYS360('Prot. TLD - Horizont'!$F21,'Prot. TLD - Horizont'!$G21,FALSE))</f>
        <v>41</v>
      </c>
      <c r="I21" s="8">
        <v>45875</v>
      </c>
      <c r="J21" s="11"/>
      <c r="K21" s="14" t="str">
        <f>IFERROR(IF(ControladorDeProjetos5[[#This Row],[Duração Real (em dias)]]=0,"",IF(ABS((ControladorDeProjetos5[[#This Row],[Duração Real (em dias)]]-ControladorDeProjetos5[[#This Row],[Duração Estimada (em dias)]])/ControladorDeProjetos5[[#This Row],[Duração Estimada (em dias)]])&gt;Sinalizador_Porcentagem,1,0)),"")</f>
        <v/>
      </c>
      <c r="L21" s="12" t="str">
        <f>IF(COUNTA('Prot. TLD - Horizont'!$I21,'Prot. TLD - Horizont'!$J21)&lt;&gt;2,"",DAYS360('Prot. TLD - Horizont'!$I21,'Prot. TLD - Horizont'!$J21,FALSE))</f>
        <v/>
      </c>
      <c r="M21" s="5" t="s">
        <v>93</v>
      </c>
      <c r="N21" s="5" t="s">
        <v>94</v>
      </c>
    </row>
    <row r="22" spans="1:14" ht="30" customHeight="1">
      <c r="A22" s="27" t="s">
        <v>63</v>
      </c>
      <c r="B22" s="6" t="s">
        <v>95</v>
      </c>
      <c r="C22" s="6" t="s">
        <v>96</v>
      </c>
      <c r="D22" s="6" t="s">
        <v>4</v>
      </c>
      <c r="E22" s="6" t="s">
        <v>97</v>
      </c>
      <c r="F22" s="7">
        <v>45897</v>
      </c>
      <c r="G22" s="7">
        <f>F22+15</f>
        <v>45912</v>
      </c>
      <c r="H22" s="13">
        <f>IF(COUNTA('Prot. TLD - Horizont'!$F22,'Prot. TLD - Horizont'!$G22)&lt;&gt;2,"",DAYS360('Prot. TLD - Horizont'!$F22,'Prot. TLD - Horizont'!$G22,FALSE))</f>
        <v>14</v>
      </c>
      <c r="I22" s="8">
        <v>45897</v>
      </c>
      <c r="J22" s="7"/>
      <c r="K22" s="14" t="str">
        <f>IFERROR(IF(ControladorDeProjetos5[[#This Row],[Duração Real (em dias)]]=0,"",IF(ABS((ControladorDeProjetos5[[#This Row],[Duração Real (em dias)]]-ControladorDeProjetos5[[#This Row],[Duração Estimada (em dias)]])/ControladorDeProjetos5[[#This Row],[Duração Estimada (em dias)]])&gt;Sinalizador_Porcentagem,1,0)),"")</f>
        <v/>
      </c>
      <c r="L22" s="9" t="str">
        <f>IF(COUNTA('Prot. TLD - Horizont'!$I22,'Prot. TLD - Horizont'!$J22)&lt;&gt;2,"",DAYS360('Prot. TLD - Horizont'!$I22,'Prot. TLD - Horizont'!$J22,FALSE))</f>
        <v/>
      </c>
      <c r="M22" s="6"/>
      <c r="N22" s="6" t="s">
        <v>58</v>
      </c>
    </row>
    <row r="23" spans="1:14" ht="30" customHeight="1">
      <c r="A23" s="27" t="s">
        <v>88</v>
      </c>
      <c r="B23" s="90" t="s">
        <v>98</v>
      </c>
      <c r="C23" s="91" t="s">
        <v>99</v>
      </c>
      <c r="D23" s="91" t="s">
        <v>15</v>
      </c>
      <c r="E23" s="91" t="s">
        <v>16</v>
      </c>
      <c r="F23" s="92">
        <v>45896</v>
      </c>
      <c r="G23" s="92">
        <f>F23+15</f>
        <v>45911</v>
      </c>
      <c r="H23" s="93">
        <f>IF(COUNTA('Prot. TLD - Horizont'!$F23,'Prot. TLD - Horizont'!$G23)&lt;&gt;2,"",DAYS360('Prot. TLD - Horizont'!$F23,'Prot. TLD - Horizont'!$G23,FALSE))</f>
        <v>14</v>
      </c>
      <c r="I23" s="94">
        <v>45896</v>
      </c>
      <c r="J23" s="92"/>
      <c r="K23" s="95" t="str">
        <f>IFERROR(IF(ControladorDeProjetos5[[#This Row],[Duração Real (em dias)]]=0,"",IF(ABS((ControladorDeProjetos5[[#This Row],[Duração Real (em dias)]]-ControladorDeProjetos5[[#This Row],[Duração Estimada (em dias)]])/ControladorDeProjetos5[[#This Row],[Duração Estimada (em dias)]])&gt;Sinalizador_Porcentagem,1,0)),"")</f>
        <v/>
      </c>
      <c r="L23" s="96" t="str">
        <f>IF(COUNTA('Prot. TLD - Horizont'!$I23,'Prot. TLD - Horizont'!$J23)&lt;&gt;2,"",DAYS360('Prot. TLD - Horizont'!$I23,'Prot. TLD - Horizont'!$J23,FALSE))</f>
        <v/>
      </c>
      <c r="M23" s="91"/>
      <c r="N23" s="91" t="s">
        <v>94</v>
      </c>
    </row>
    <row r="24" spans="1:14" ht="53.25" customHeight="1">
      <c r="A24" s="27" t="s">
        <v>40</v>
      </c>
      <c r="B24" s="90" t="s">
        <v>100</v>
      </c>
      <c r="C24" s="91" t="s">
        <v>101</v>
      </c>
      <c r="D24" s="91" t="s">
        <v>4</v>
      </c>
      <c r="E24" s="91" t="s">
        <v>97</v>
      </c>
      <c r="F24" s="92">
        <v>45947</v>
      </c>
      <c r="G24" s="92">
        <v>45978</v>
      </c>
      <c r="H24" s="93">
        <f>G24-F24</f>
        <v>31</v>
      </c>
      <c r="I24" s="94">
        <v>45947</v>
      </c>
      <c r="J24" s="92">
        <v>46035</v>
      </c>
      <c r="K24" s="95" t="str">
        <f>IFERROR(IF(ControladorDeProjetos5[[#This Row],[Duração Real (em dias)]]=0,"",IF(ABS((ControladorDeProjetos5[[#This Row],[Duração Real (em dias)]]-ControladorDeProjetos5[[#This Row],[Duração Estimada (em dias)]])/ControladorDeProjetos5[[#This Row],[Duração Estimada (em dias)]])&gt;Sinalizador_Porcentagem,1,0)),"")</f>
        <v/>
      </c>
      <c r="L24" s="96">
        <f>J24-I24</f>
        <v>88</v>
      </c>
      <c r="M24" s="91" t="s">
        <v>102</v>
      </c>
      <c r="N24" s="91" t="s">
        <v>94</v>
      </c>
    </row>
  </sheetData>
  <mergeCells count="1">
    <mergeCell ref="J1:O3"/>
  </mergeCells>
  <phoneticPr fontId="25" type="noConversion"/>
  <conditionalFormatting sqref="A5:A24">
    <cfRule type="containsText" dxfId="276" priority="1" operator="containsText" text="ANÁL">
      <formula>NOT(ISERROR(SEARCH("ANÁL",A5)))</formula>
    </cfRule>
    <cfRule type="containsText" dxfId="275" priority="2" operator="containsText" text="CANC">
      <formula>NOT(ISERROR(SEARCH("CANC",A5)))</formula>
    </cfRule>
    <cfRule type="containsText" dxfId="274" priority="3" operator="containsText" text="APRO">
      <formula>NOT(ISERROR(SEARCH("APRO",A5)))</formula>
    </cfRule>
    <cfRule type="containsText" dxfId="273" priority="4" operator="containsText" text="ANÁL">
      <formula>NOT(ISERROR(SEARCH("ANÁL",A5)))</formula>
    </cfRule>
    <cfRule type="containsText" dxfId="272" priority="5" operator="containsText" text="CANC.">
      <formula>NOT(ISERROR(SEARCH("CANC.",A5)))</formula>
    </cfRule>
    <cfRule type="containsText" dxfId="271" priority="6" operator="containsText" text="APRO.">
      <formula>NOT(ISERROR(SEARCH("APRO.",A5)))</formula>
    </cfRule>
  </conditionalFormatting>
  <conditionalFormatting sqref="L5:L24">
    <cfRule type="expression" dxfId="270" priority="7">
      <formula>(ABS((L5-H5))/H5)&gt;Sinalizador_Porcentagem</formula>
    </cfRule>
  </conditionalFormatting>
  <dataValidations count="16">
    <dataValidation allowBlank="1" showInputMessage="1" showErrorMessage="1" prompt="Insira anotações para os projetos nesta coluna" sqref="M4:N4" xr:uid="{00000000-0002-0000-0300-000000000000}"/>
    <dataValidation allowBlank="1" showInputMessage="1" showErrorMessage="1" prompt="Insira a duração real de projeto em dias. Valores que atendem aos critérios Acima/Abaixo são destacados em negrito vermelho e geram um ícone de sinalizador na coluna M à esquerda" sqref="L4" xr:uid="{00000000-0002-0000-0300-000001000000}"/>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00000000-0002-0000-0300-000002000000}"/>
    <dataValidation allowBlank="1" showInputMessage="1" showErrorMessage="1" prompt="Insira a data de término real do projeto nesta coluna" sqref="J4" xr:uid="{00000000-0002-0000-0300-000003000000}"/>
    <dataValidation allowBlank="1" showInputMessage="1" showErrorMessage="1" prompt="Insira a data de início real do projeto nesta coluna" sqref="I4" xr:uid="{00000000-0002-0000-0300-000004000000}"/>
    <dataValidation allowBlank="1" showInputMessage="1" showErrorMessage="1" prompt="Insira a duração estimada do projeto em dias nesta coluna" sqref="H4" xr:uid="{00000000-0002-0000-0300-000005000000}"/>
    <dataValidation allowBlank="1" showInputMessage="1" showErrorMessage="1" prompt="Insira a data de término estimada do projeto nesta coluna" sqref="G4" xr:uid="{00000000-0002-0000-0300-000006000000}"/>
    <dataValidation allowBlank="1" showInputMessage="1" showErrorMessage="1" prompt="Insira a data de início estimada do projeto nesta coluna" sqref="F4" xr:uid="{00000000-0002-0000-0300-000007000000}"/>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00000000-0002-0000-0300-000008000000}"/>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00000000-0002-0000-0300-000009000000}"/>
    <dataValidation allowBlank="1" showInputMessage="1" showErrorMessage="1" prompt="Insira os nomes de projetos nesta coluna" sqref="A4:C4" xr:uid="{00000000-0002-0000-0300-00000A000000}"/>
    <dataValidation allowBlank="1" showInputMessage="1" showErrorMessage="1" prompt="Porcentagem acima/abaixo personalizáveis usadas para realçar o trabalho real em horas e dias na tabela de projetos que excedam ou fiquem abaixo deste número" sqref="E2" xr:uid="{00000000-0002-0000-0300-00000B000000}"/>
    <dataValidation allowBlank="1" showInputMessage="1" prompt="Insira projetos nesta planilha do controle de projetos. Defina a % acima/abaixo para sinalizar em D2. O trabalho real em horas e a duração real em dias destacarão valores acima/abaixo com negrito, fonte vermelha e um ícone de bandeira nas colunas K e M " sqref="A1" xr:uid="{00000000-0002-0000-0300-00000C000000}"/>
    <dataValidation type="list" allowBlank="1" showInputMessage="1" showErrorMessage="1" error="Selecione um funcionário na lista ou crie um novo funcionário para exibir nesta lista da planilha Configuração." sqref="E5:E24" xr:uid="{00000000-0002-0000-0300-00000D000000}">
      <formula1>Funcionário_Lista</formula1>
    </dataValidation>
    <dataValidation type="list" allowBlank="1" showInputMessage="1" showErrorMessage="1" error="Selecione uma categoria na lista ou crie uma nova categoria para exibir nesta lista da planilha Configuração." sqref="D5:D24" xr:uid="{00000000-0002-0000-0300-00000E000000}">
      <formula1>Categoria_Lista</formula1>
    </dataValidation>
    <dataValidation type="list" allowBlank="1" showInputMessage="1" showErrorMessage="1" sqref="A5:A24" xr:uid="{00000000-0002-0000-0300-00000F000000}">
      <formula1>"APRO, ANÁL, CANC,"</formula1>
    </dataValidation>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43" id="{49A0996A-63C3-400F-801B-A93B35AC1363}">
            <x14:iconSet custom="1">
              <x14:cfvo type="percent">
                <xm:f>0</xm:f>
              </x14:cfvo>
              <x14:cfvo type="num">
                <xm:f>0</xm:f>
              </x14:cfvo>
              <x14:cfvo type="num">
                <xm:f>1</xm:f>
              </x14:cfvo>
              <x14:cfIcon iconSet="NoIcons" iconId="0"/>
              <x14:cfIcon iconSet="NoIcons" iconId="0"/>
              <x14:cfIcon iconSet="3Flags" iconId="0"/>
            </x14:iconSet>
          </x14:cfRule>
          <xm:sqref>K5:K24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autoPageBreaks="0" fitToPage="1"/>
  </sheetPr>
  <dimension ref="A1:O9"/>
  <sheetViews>
    <sheetView showGridLines="0" zoomScale="90" zoomScaleNormal="90" workbookViewId="0">
      <pane ySplit="4" topLeftCell="A5" activePane="bottomLeft" state="frozen"/>
      <selection pane="bottomLeft" activeCell="A10" sqref="A10"/>
    </sheetView>
  </sheetViews>
  <sheetFormatPr defaultColWidth="9" defaultRowHeight="30" customHeight="1"/>
  <cols>
    <col min="1" max="1" width="8.75" style="31" bestFit="1" customWidth="1"/>
    <col min="2" max="2" width="23.5" customWidth="1"/>
    <col min="3" max="3" width="23.75" customWidth="1"/>
    <col min="4" max="4" width="20.625" customWidth="1"/>
    <col min="5" max="5" width="16.625" customWidth="1"/>
    <col min="6" max="6" width="13.75" style="1" customWidth="1"/>
    <col min="7" max="7" width="14.375" style="1" customWidth="1"/>
    <col min="8" max="8" width="10.75" customWidth="1"/>
    <col min="9" max="9" width="14.375" style="1" customWidth="1"/>
    <col min="10" max="10" width="14.875" style="1" customWidth="1"/>
    <col min="11" max="11" width="8.625" style="1" customWidth="1"/>
    <col min="12" max="12" width="13.625" customWidth="1"/>
    <col min="13" max="13" width="28.25" customWidth="1"/>
    <col min="14" max="14" width="24" customWidth="1"/>
    <col min="15" max="15" width="25.625" customWidth="1"/>
    <col min="16" max="16" width="2.625" customWidth="1"/>
  </cols>
  <sheetData>
    <row r="1" spans="1:15" ht="65.099999999999994" customHeight="1">
      <c r="B1" s="24" t="s">
        <v>103</v>
      </c>
      <c r="C1" s="4"/>
      <c r="J1" s="130"/>
      <c r="K1" s="130"/>
      <c r="L1" s="130"/>
      <c r="M1" s="130"/>
      <c r="N1" s="130"/>
      <c r="O1" s="130"/>
    </row>
    <row r="2" spans="1:15" ht="20.25" customHeight="1">
      <c r="A2" s="51"/>
      <c r="B2" s="4"/>
      <c r="C2" s="4"/>
      <c r="D2" s="3" t="s">
        <v>26</v>
      </c>
      <c r="E2" s="20"/>
      <c r="J2" s="130"/>
      <c r="K2" s="130"/>
      <c r="L2" s="130"/>
      <c r="M2" s="130"/>
      <c r="N2" s="130"/>
      <c r="O2" s="130"/>
    </row>
    <row r="3" spans="1:15" ht="20.25" customHeight="1">
      <c r="J3" s="130"/>
      <c r="K3" s="130"/>
      <c r="L3" s="130"/>
      <c r="M3" s="130"/>
      <c r="N3" s="130"/>
      <c r="O3" s="130"/>
    </row>
    <row r="4" spans="1:15" ht="54.95" customHeight="1">
      <c r="A4" s="35" t="s">
        <v>27</v>
      </c>
      <c r="B4" s="15" t="s">
        <v>28</v>
      </c>
      <c r="C4" s="15" t="s">
        <v>29</v>
      </c>
      <c r="D4" s="15" t="s">
        <v>1</v>
      </c>
      <c r="E4" s="15" t="s">
        <v>30</v>
      </c>
      <c r="F4" s="16" t="s">
        <v>31</v>
      </c>
      <c r="G4" s="16" t="s">
        <v>32</v>
      </c>
      <c r="H4" s="17" t="s">
        <v>33</v>
      </c>
      <c r="I4" s="18" t="s">
        <v>34</v>
      </c>
      <c r="J4" s="16" t="s">
        <v>35</v>
      </c>
      <c r="K4" s="23" t="s">
        <v>36</v>
      </c>
      <c r="L4" s="19" t="s">
        <v>37</v>
      </c>
      <c r="M4" s="15" t="s">
        <v>38</v>
      </c>
      <c r="N4" s="15" t="s">
        <v>39</v>
      </c>
    </row>
    <row r="5" spans="1:15" ht="49.5">
      <c r="A5" s="64" t="s">
        <v>40</v>
      </c>
      <c r="B5" s="6" t="s">
        <v>104</v>
      </c>
      <c r="C5" s="6" t="s">
        <v>105</v>
      </c>
      <c r="D5" s="6" t="s">
        <v>4</v>
      </c>
      <c r="E5" s="6" t="s">
        <v>13</v>
      </c>
      <c r="F5" s="7">
        <v>45223</v>
      </c>
      <c r="G5" s="7">
        <v>45321</v>
      </c>
      <c r="H5" s="13">
        <f>IF(COUNTA('Prot. TLD - Ducale'!$F5,'Prot. TLD - Ducale'!$G5)&lt;&gt;2,"",DAYS360('Prot. TLD - Ducale'!$F5,'Prot. TLD - Ducale'!$G5,FALSE))</f>
        <v>96</v>
      </c>
      <c r="I5" s="8">
        <v>45223</v>
      </c>
      <c r="J5" s="7">
        <v>45320</v>
      </c>
      <c r="K5" s="14">
        <f>IFERROR(IF(ControladorDeProjetos[[#This Row],[Duração Real (em dias)]]=0,"",IF(ABS((ControladorDeProjetos[[#This Row],[Duração Real (em dias)]]-ControladorDeProjetos[[#This Row],[Duração Estimada (em dias)]])/ControladorDeProjetos[[#This Row],[Duração Estimada (em dias)]])&gt;Sinalizador_Porcentagem,1,0)),"")</f>
        <v>1</v>
      </c>
      <c r="L5" s="9">
        <f>IF(COUNTA('Prot. TLD - Ducale'!$I5,'Prot. TLD - Ducale'!$J5)&lt;&gt;2,"",DAYS360('Prot. TLD - Ducale'!$I5,'Prot. TLD - Ducale'!$J5,FALSE))</f>
        <v>95</v>
      </c>
      <c r="M5" s="6" t="s">
        <v>106</v>
      </c>
      <c r="N5" s="6" t="s">
        <v>52</v>
      </c>
    </row>
    <row r="6" spans="1:15" ht="70.900000000000006" customHeight="1">
      <c r="A6" s="27" t="s">
        <v>63</v>
      </c>
      <c r="B6" s="6" t="s">
        <v>107</v>
      </c>
      <c r="C6" s="6" t="s">
        <v>108</v>
      </c>
      <c r="D6" s="6" t="s">
        <v>15</v>
      </c>
      <c r="E6" s="6" t="s">
        <v>13</v>
      </c>
      <c r="F6" s="7">
        <v>45310</v>
      </c>
      <c r="G6" s="7">
        <v>45342</v>
      </c>
      <c r="H6" s="13">
        <f>IF(COUNTA('Prot. TLD - Ducale'!$F6,'Prot. TLD - Ducale'!$G6)&lt;&gt;2,"",DAYS360('Prot. TLD - Ducale'!$F6,'Prot. TLD - Ducale'!$G6,FALSE))</f>
        <v>31</v>
      </c>
      <c r="I6" s="8">
        <v>45310</v>
      </c>
      <c r="J6" s="7"/>
      <c r="K6" s="14" t="str">
        <f>IFERROR(IF(ControladorDeProjetos[[#This Row],[Duração Real (em dias)]]=0,"",IF(ABS((ControladorDeProjetos[[#This Row],[Duração Real (em dias)]]-ControladorDeProjetos[[#This Row],[Duração Estimada (em dias)]])/ControladorDeProjetos[[#This Row],[Duração Estimada (em dias)]])&gt;Sinalizador_Porcentagem,1,0)),"")</f>
        <v/>
      </c>
      <c r="L6" s="9" t="str">
        <f>IF(COUNTA('Prot. TLD - Ducale'!$I6,'Prot. TLD - Ducale'!$J6)&lt;&gt;2,"",DAYS360('Prot. TLD - Ducale'!$I6,'Prot. TLD - Ducale'!$J6,FALSE))</f>
        <v/>
      </c>
      <c r="M6" s="26" t="s">
        <v>109</v>
      </c>
      <c r="N6" s="6" t="s">
        <v>110</v>
      </c>
    </row>
    <row r="7" spans="1:15" ht="33">
      <c r="A7" s="27" t="s">
        <v>63</v>
      </c>
      <c r="B7" s="10" t="s">
        <v>111</v>
      </c>
      <c r="C7" s="10" t="s">
        <v>112</v>
      </c>
      <c r="D7" s="10" t="s">
        <v>18</v>
      </c>
      <c r="E7" s="6" t="s">
        <v>13</v>
      </c>
      <c r="F7" s="11">
        <v>45313</v>
      </c>
      <c r="G7" s="11">
        <v>45344</v>
      </c>
      <c r="H7" s="13">
        <f>IF(COUNTA('Prot. TLD - Ducale'!$F7,'Prot. TLD - Ducale'!$G7)&lt;&gt;2,"",DAYS360('Prot. TLD - Ducale'!$F7,'Prot. TLD - Ducale'!$G7,FALSE))</f>
        <v>30</v>
      </c>
      <c r="I7" s="8">
        <v>45313</v>
      </c>
      <c r="J7" s="11"/>
      <c r="K7" s="14" t="str">
        <f>IFERROR(IF(ControladorDeProjetos[[#This Row],[Duração Real (em dias)]]=0,"",IF(ABS((ControladorDeProjetos[[#This Row],[Duração Real (em dias)]]-ControladorDeProjetos[[#This Row],[Duração Estimada (em dias)]])/ControladorDeProjetos[[#This Row],[Duração Estimada (em dias)]])&gt;Sinalizador_Porcentagem,1,0)),"")</f>
        <v/>
      </c>
      <c r="L7" s="12" t="str">
        <f>IF(COUNTA('Prot. TLD - Ducale'!$I7,'Prot. TLD - Ducale'!$J7)&lt;&gt;2,"",DAYS360('Prot. TLD - Ducale'!$I7,'Prot. TLD - Ducale'!$J7,FALSE))</f>
        <v/>
      </c>
      <c r="M7" s="10" t="s">
        <v>113</v>
      </c>
      <c r="N7" s="10" t="s">
        <v>58</v>
      </c>
    </row>
    <row r="8" spans="1:15" ht="49.5">
      <c r="A8" s="27" t="s">
        <v>40</v>
      </c>
      <c r="B8" s="5" t="s">
        <v>114</v>
      </c>
      <c r="C8" s="5" t="s">
        <v>115</v>
      </c>
      <c r="D8" s="5" t="s">
        <v>22</v>
      </c>
      <c r="E8" s="5" t="s">
        <v>116</v>
      </c>
      <c r="F8" s="11">
        <v>45730</v>
      </c>
      <c r="G8" s="11">
        <f>ControladorDeProjetos[[#This Row],[Estimado
Início]]+60</f>
        <v>45790</v>
      </c>
      <c r="H8" s="13">
        <f>IF(COUNTA('Prot. TLD - Ducale'!$F8,'Prot. TLD - Ducale'!$G8)&lt;&gt;2,"",DAYS360('Prot. TLD - Ducale'!$F8,'Prot. TLD - Ducale'!$G8,FALSE))</f>
        <v>59</v>
      </c>
      <c r="I8" s="8">
        <v>45730</v>
      </c>
      <c r="J8" s="11"/>
      <c r="K8" s="14" t="str">
        <f>IFERROR(IF(ControladorDeProjetos[[#This Row],[Duração Real (em dias)]]=0,"",IF(ABS((ControladorDeProjetos[[#This Row],[Duração Real (em dias)]]-ControladorDeProjetos[[#This Row],[Duração Estimada (em dias)]])/ControladorDeProjetos[[#This Row],[Duração Estimada (em dias)]])&gt;Sinalizador_Porcentagem,1,0)),"")</f>
        <v/>
      </c>
      <c r="L8" s="12" t="str">
        <f>IF(COUNTA('Prot. TLD - Ducale'!$I8,'Prot. TLD - Ducale'!$J8)&lt;&gt;2,"",DAYS360('Prot. TLD - Ducale'!$I8,'Prot. TLD - Ducale'!$J8,FALSE))</f>
        <v/>
      </c>
      <c r="M8" s="5" t="s">
        <v>117</v>
      </c>
      <c r="N8" s="5" t="s">
        <v>58</v>
      </c>
    </row>
    <row r="9" spans="1:15" ht="33">
      <c r="A9" s="27" t="s">
        <v>88</v>
      </c>
      <c r="B9" s="5">
        <v>35432</v>
      </c>
      <c r="C9" s="5" t="s">
        <v>118</v>
      </c>
      <c r="D9" s="5" t="s">
        <v>18</v>
      </c>
      <c r="E9" s="5" t="s">
        <v>16</v>
      </c>
      <c r="F9" s="11">
        <v>45887</v>
      </c>
      <c r="G9" s="11">
        <f>F9+30</f>
        <v>45917</v>
      </c>
      <c r="H9" s="13">
        <f>IF(COUNTA('Prot. TLD - Ducale'!$F9,'Prot. TLD - Ducale'!$G9)&lt;&gt;2,"",DAYS360('Prot. TLD - Ducale'!$F9,'Prot. TLD - Ducale'!$G9,FALSE))</f>
        <v>29</v>
      </c>
      <c r="I9" s="8">
        <v>45887</v>
      </c>
      <c r="J9" s="11"/>
      <c r="K9" s="14" t="str">
        <f>IFERROR(IF(ControladorDeProjetos[[#This Row],[Duração Real (em dias)]]=0,"",IF(ABS((ControladorDeProjetos[[#This Row],[Duração Real (em dias)]]-ControladorDeProjetos[[#This Row],[Duração Estimada (em dias)]])/ControladorDeProjetos[[#This Row],[Duração Estimada (em dias)]])&gt;Sinalizador_Porcentagem,1,0)),"")</f>
        <v/>
      </c>
      <c r="L9" s="12" t="str">
        <f>IF(COUNTA('Prot. TLD - Ducale'!$I9,'Prot. TLD - Ducale'!$J9)&lt;&gt;2,"",DAYS360('Prot. TLD - Ducale'!$I9,'Prot. TLD - Ducale'!$J9,FALSE))</f>
        <v/>
      </c>
      <c r="M9" s="5"/>
      <c r="N9" s="5" t="s">
        <v>58</v>
      </c>
    </row>
  </sheetData>
  <mergeCells count="1">
    <mergeCell ref="J1:O3"/>
  </mergeCells>
  <conditionalFormatting sqref="A5">
    <cfRule type="containsText" dxfId="265" priority="14" operator="containsText" text="ANÁL">
      <formula>NOT(ISERROR(SEARCH("ANÁL",A5)))</formula>
    </cfRule>
    <cfRule type="containsText" dxfId="264" priority="15" operator="containsText" text="APRO">
      <formula>NOT(ISERROR(SEARCH("APRO",A5)))</formula>
    </cfRule>
  </conditionalFormatting>
  <conditionalFormatting sqref="A5:A9">
    <cfRule type="containsText" dxfId="263" priority="2" operator="containsText" text="CANC">
      <formula>NOT(ISERROR(SEARCH("CANC",A5)))</formula>
    </cfRule>
  </conditionalFormatting>
  <conditionalFormatting sqref="A6:A9">
    <cfRule type="containsText" dxfId="262" priority="1" operator="containsText" text="ANÁL">
      <formula>NOT(ISERROR(SEARCH("ANÁL",A6)))</formula>
    </cfRule>
    <cfRule type="containsText" dxfId="261" priority="3" operator="containsText" text="APRO">
      <formula>NOT(ISERROR(SEARCH("APRO",A6)))</formula>
    </cfRule>
    <cfRule type="containsText" dxfId="260" priority="4" operator="containsText" text="ANÁL">
      <formula>NOT(ISERROR(SEARCH("ANÁL",A6)))</formula>
    </cfRule>
    <cfRule type="containsText" dxfId="259" priority="5" operator="containsText" text="CANC.">
      <formula>NOT(ISERROR(SEARCH("CANC.",A6)))</formula>
    </cfRule>
    <cfRule type="containsText" dxfId="258" priority="6" operator="containsText" text="APRO.">
      <formula>NOT(ISERROR(SEARCH("APRO.",A6)))</formula>
    </cfRule>
  </conditionalFormatting>
  <conditionalFormatting sqref="L5:L9">
    <cfRule type="expression" dxfId="257" priority="23">
      <formula>(ABS((L5-H5))/H5)&gt;Sinalizador_Porcentagem</formula>
    </cfRule>
  </conditionalFormatting>
  <dataValidations xWindow="82" yWindow="339" count="16">
    <dataValidation allowBlank="1" showInputMessage="1" prompt="Insira projetos nesta planilha do controle de projetos. Defina a % acima/abaixo para sinalizar em D2. O trabalho real em horas e a duração real em dias destacarão valores acima/abaixo com negrito, fonte vermelha e um ícone de bandeira nas colunas K e M " sqref="A1" xr:uid="{00000000-0002-0000-0000-000000000000}"/>
    <dataValidation allowBlank="1" showInputMessage="1" showErrorMessage="1" prompt="Porcentagem acima/abaixo personalizáveis usadas para realçar o trabalho real em horas e dias na tabela de projetos que excedam ou fiquem abaixo deste número" sqref="E2" xr:uid="{00000000-0002-0000-0000-000001000000}"/>
    <dataValidation allowBlank="1" showInputMessage="1" showErrorMessage="1" prompt="Insira os nomes de projetos nesta coluna" sqref="A4:C4" xr:uid="{00000000-0002-0000-0000-000002000000}"/>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00000000-0002-0000-0000-000003000000}"/>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00000000-0002-0000-0000-000004000000}"/>
    <dataValidation allowBlank="1" showInputMessage="1" showErrorMessage="1" prompt="Insira a data de início estimada do projeto nesta coluna" sqref="F4" xr:uid="{00000000-0002-0000-0000-000005000000}"/>
    <dataValidation allowBlank="1" showInputMessage="1" showErrorMessage="1" prompt="Insira a data de término estimada do projeto nesta coluna" sqref="G4" xr:uid="{00000000-0002-0000-0000-000006000000}"/>
    <dataValidation allowBlank="1" showInputMessage="1" showErrorMessage="1" prompt="Insira a duração estimada do projeto em dias nesta coluna" sqref="H4" xr:uid="{00000000-0002-0000-0000-000007000000}"/>
    <dataValidation allowBlank="1" showInputMessage="1" showErrorMessage="1" prompt="Insira a data de início real do projeto nesta coluna" sqref="I4" xr:uid="{00000000-0002-0000-0000-000008000000}"/>
    <dataValidation allowBlank="1" showInputMessage="1" showErrorMessage="1" prompt="Insira a data de término real do projeto nesta coluna" sqref="J4" xr:uid="{00000000-0002-0000-0000-000009000000}"/>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00000000-0002-0000-0000-00000A000000}"/>
    <dataValidation allowBlank="1" showInputMessage="1" showErrorMessage="1" prompt="Insira a duração real de projeto em dias. Valores que atendem aos critérios Acima/Abaixo são destacados em negrito vermelho e geram um ícone de sinalizador na coluna M à esquerda" sqref="L4" xr:uid="{00000000-0002-0000-0000-00000B000000}"/>
    <dataValidation allowBlank="1" showInputMessage="1" showErrorMessage="1" prompt="Insira anotações para os projetos nesta coluna" sqref="M4:N4" xr:uid="{00000000-0002-0000-0000-00000C000000}"/>
    <dataValidation type="list" allowBlank="1" showInputMessage="1" showErrorMessage="1" error="Selecione uma categoria na lista ou crie uma nova categoria para exibir nesta lista da planilha Configuração." sqref="D5:D9" xr:uid="{00000000-0002-0000-0000-00000D000000}">
      <formula1>Categoria_Lista</formula1>
    </dataValidation>
    <dataValidation type="list" allowBlank="1" showInputMessage="1" showErrorMessage="1" error="Selecione um funcionário na lista ou crie um novo funcionário para exibir nesta lista da planilha Configuração." sqref="E5:E9" xr:uid="{00000000-0002-0000-0000-00000E000000}">
      <formula1>Funcionário_Lista</formula1>
    </dataValidation>
    <dataValidation type="list" allowBlank="1" showInputMessage="1" showErrorMessage="1" sqref="A6:A9" xr:uid="{00000000-0002-0000-0000-00000F000000}">
      <formula1>"APRO, ANÁL, CANC,"</formula1>
    </dataValidation>
  </dataValidations>
  <printOptions horizontalCentered="1"/>
  <pageMargins left="0.25" right="0.25" top="0.5" bottom="0.5" header="0.3" footer="0.3"/>
  <pageSetup paperSize="9" fitToHeight="0" orientation="landscape" r:id="rId1"/>
  <headerFooter differentFirst="1">
    <oddFooter>&amp;CPage &amp;P of &amp;N</oddFooter>
  </headerFooter>
  <ignoredErrors>
    <ignoredError sqref="L7" emptyCellReference="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45" id="{136B1933-ABA4-46F0-A1B3-AE0D99AE777F}">
            <x14:iconSet custom="1">
              <x14:cfvo type="percent">
                <xm:f>0</xm:f>
              </x14:cfvo>
              <x14:cfvo type="num">
                <xm:f>0</xm:f>
              </x14:cfvo>
              <x14:cfvo type="num">
                <xm:f>1</xm:f>
              </x14:cfvo>
              <x14:cfIcon iconSet="NoIcons" iconId="0"/>
              <x14:cfIcon iconSet="NoIcons" iconId="0"/>
              <x14:cfIcon iconSet="3Flags" iconId="0"/>
            </x14:iconSet>
          </x14:cfRule>
          <xm:sqref>K5:K9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pageSetUpPr autoPageBreaks="0" fitToPage="1"/>
  </sheetPr>
  <dimension ref="A1:N42"/>
  <sheetViews>
    <sheetView showGridLines="0" tabSelected="1" zoomScale="130" zoomScaleNormal="130" workbookViewId="0">
      <pane ySplit="4" topLeftCell="A5" activePane="bottomLeft" state="frozen"/>
      <selection pane="bottomLeft" activeCell="F11" sqref="F11"/>
    </sheetView>
  </sheetViews>
  <sheetFormatPr defaultColWidth="9" defaultRowHeight="16.5"/>
  <cols>
    <col min="1" max="1" width="10.125" style="31" bestFit="1" customWidth="1"/>
    <col min="2" max="2" width="23.25" style="55" bestFit="1" customWidth="1"/>
    <col min="3" max="3" width="41" style="55" bestFit="1" customWidth="1"/>
    <col min="4" max="4" width="24.5" style="31" customWidth="1"/>
    <col min="5" max="5" width="17.75" style="34" bestFit="1" customWidth="1"/>
    <col min="6" max="6" width="17.5" style="34" bestFit="1" customWidth="1"/>
    <col min="7" max="7" width="13.75" style="31" bestFit="1" customWidth="1"/>
    <col min="8" max="8" width="21.375" style="34" bestFit="1" customWidth="1"/>
    <col min="9" max="9" width="13.75" style="34" bestFit="1" customWidth="1"/>
    <col min="10" max="10" width="12" style="34" bestFit="1" customWidth="1"/>
    <col min="11" max="11" width="25.25" style="31" bestFit="1" customWidth="1"/>
    <col min="12" max="12" width="26.25" style="31" bestFit="1" customWidth="1"/>
    <col min="13" max="13" width="28.75" style="31" bestFit="1" customWidth="1"/>
    <col min="14" max="14" width="14.5" style="31" customWidth="1"/>
    <col min="15" max="15" width="2.625" customWidth="1"/>
  </cols>
  <sheetData>
    <row r="1" spans="1:14" ht="33">
      <c r="A1" s="131" t="s">
        <v>119</v>
      </c>
      <c r="B1" s="131"/>
      <c r="C1" s="131"/>
      <c r="D1" s="131"/>
      <c r="E1" s="32" t="s">
        <v>120</v>
      </c>
      <c r="F1" s="32" t="s">
        <v>121</v>
      </c>
      <c r="G1" s="31" t="s">
        <v>122</v>
      </c>
      <c r="H1" s="34" t="s">
        <v>123</v>
      </c>
      <c r="I1" s="130"/>
      <c r="J1" s="130"/>
      <c r="K1" s="130"/>
      <c r="L1" s="130"/>
      <c r="M1" s="130"/>
      <c r="N1" s="130"/>
    </row>
    <row r="2" spans="1:14" ht="30.75">
      <c r="A2" s="48"/>
      <c r="B2" s="54"/>
      <c r="C2" s="55" t="s">
        <v>26</v>
      </c>
      <c r="D2" s="20"/>
      <c r="E2" s="34" t="s">
        <v>124</v>
      </c>
      <c r="F2" s="31" t="s">
        <v>125</v>
      </c>
      <c r="I2" s="130"/>
      <c r="J2" s="130"/>
      <c r="K2" s="130"/>
      <c r="L2" s="130"/>
      <c r="M2" s="130"/>
      <c r="N2" s="130"/>
    </row>
    <row r="3" spans="1:14">
      <c r="E3" s="30"/>
      <c r="F3" s="30"/>
      <c r="I3" s="130"/>
      <c r="J3" s="130"/>
      <c r="K3" s="130"/>
      <c r="L3" s="130"/>
      <c r="M3" s="130"/>
      <c r="N3" s="130"/>
    </row>
    <row r="4" spans="1:14" ht="42.75">
      <c r="A4" s="35" t="s">
        <v>126</v>
      </c>
      <c r="B4" s="56" t="s">
        <v>28</v>
      </c>
      <c r="C4" s="56" t="s">
        <v>29</v>
      </c>
      <c r="D4" s="35" t="s">
        <v>1</v>
      </c>
      <c r="E4" s="35" t="s">
        <v>30</v>
      </c>
      <c r="F4" s="36" t="s">
        <v>31</v>
      </c>
      <c r="G4" s="36" t="s">
        <v>32</v>
      </c>
      <c r="H4" s="29" t="s">
        <v>33</v>
      </c>
      <c r="I4" s="37" t="s">
        <v>34</v>
      </c>
      <c r="J4" s="36" t="s">
        <v>35</v>
      </c>
      <c r="K4" s="28" t="s">
        <v>36</v>
      </c>
      <c r="L4" s="38" t="s">
        <v>37</v>
      </c>
      <c r="M4" s="35" t="s">
        <v>38</v>
      </c>
      <c r="N4" s="35" t="s">
        <v>39</v>
      </c>
    </row>
    <row r="5" spans="1:14" ht="33">
      <c r="A5" s="52" t="s">
        <v>40</v>
      </c>
      <c r="B5" s="61" t="s">
        <v>127</v>
      </c>
      <c r="C5" s="74" t="s">
        <v>128</v>
      </c>
      <c r="D5" s="39" t="s">
        <v>4</v>
      </c>
      <c r="E5" s="39" t="s">
        <v>13</v>
      </c>
      <c r="F5" s="42">
        <v>45519</v>
      </c>
      <c r="G5" s="42">
        <v>45550</v>
      </c>
      <c r="H5" s="44">
        <f>IF(COUNTA('Prot. TLD - Villa Bella I'!$F5,'Prot. TLD - Villa Bella I'!$G5)&lt;&gt;2,"",DAYS360('Prot. TLD - Villa Bella I'!$F5,'Prot. TLD - Villa Bella I'!$G5,FALSE))</f>
        <v>30</v>
      </c>
      <c r="I5" s="45">
        <v>45519</v>
      </c>
      <c r="J5" s="42">
        <v>45589</v>
      </c>
      <c r="K5"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5" s="46">
        <f>ControladorDeProjetos38[[#This Row],[Real
Término]]-ControladorDeProjetos38[[#This Row],[Real 
Início]]</f>
        <v>70</v>
      </c>
      <c r="M5" s="39" t="s">
        <v>129</v>
      </c>
      <c r="N5" s="39" t="s">
        <v>130</v>
      </c>
    </row>
    <row r="6" spans="1:14" ht="33">
      <c r="A6" s="52" t="s">
        <v>40</v>
      </c>
      <c r="B6" s="61" t="s">
        <v>131</v>
      </c>
      <c r="C6" s="74" t="s">
        <v>132</v>
      </c>
      <c r="D6" s="39" t="s">
        <v>4</v>
      </c>
      <c r="E6" s="39" t="s">
        <v>13</v>
      </c>
      <c r="F6" s="42">
        <v>45567</v>
      </c>
      <c r="G6" s="42">
        <v>45574</v>
      </c>
      <c r="H6" s="44">
        <f>ControladorDeProjetos38[[#This Row],[Estimado 
Término]]-ControladorDeProjetos38[[#This Row],[Estimado
Início]]</f>
        <v>7</v>
      </c>
      <c r="I6" s="45">
        <v>45567</v>
      </c>
      <c r="J6" s="42">
        <v>45607</v>
      </c>
      <c r="K6" s="62"/>
      <c r="L6" s="46">
        <f>ControladorDeProjetos38[[#This Row],[Real
Término]]-ControladorDeProjetos38[[#This Row],[Real 
Início]]</f>
        <v>40</v>
      </c>
      <c r="M6" s="39" t="s">
        <v>129</v>
      </c>
      <c r="N6" s="39" t="s">
        <v>130</v>
      </c>
    </row>
    <row r="7" spans="1:14">
      <c r="A7" s="52" t="s">
        <v>40</v>
      </c>
      <c r="B7" s="61" t="s">
        <v>133</v>
      </c>
      <c r="C7" s="74" t="s">
        <v>134</v>
      </c>
      <c r="D7" s="39" t="s">
        <v>4</v>
      </c>
      <c r="E7" s="39" t="s">
        <v>13</v>
      </c>
      <c r="F7" s="42">
        <v>45699</v>
      </c>
      <c r="G7" s="42">
        <f>ControladorDeProjetos38[[#This Row],[Estimado
Início]]+30</f>
        <v>45729</v>
      </c>
      <c r="H7" s="44">
        <f>IF(COUNTA('Prot. TLD - Villa Bella I'!$F7,'Prot. TLD - Villa Bella I'!$G7)&lt;&gt;2,"",DAYS360('Prot. TLD - Villa Bella I'!$F7,'Prot. TLD - Villa Bella I'!$G7,FALSE))</f>
        <v>32</v>
      </c>
      <c r="I7" s="45">
        <v>45716</v>
      </c>
      <c r="J7" s="42">
        <v>45734</v>
      </c>
      <c r="K7" s="62"/>
      <c r="L7" s="46">
        <f>ControladorDeProjetos38[[#This Row],[Real
Término]]-ControladorDeProjetos38[[#This Row],[Real 
Início]]</f>
        <v>18</v>
      </c>
      <c r="M7" s="63" t="s">
        <v>129</v>
      </c>
      <c r="N7" s="39" t="s">
        <v>130</v>
      </c>
    </row>
    <row r="8" spans="1:14">
      <c r="A8" s="52" t="s">
        <v>40</v>
      </c>
      <c r="B8" s="61" t="s">
        <v>133</v>
      </c>
      <c r="C8" s="74" t="s">
        <v>135</v>
      </c>
      <c r="D8" s="78" t="s">
        <v>4</v>
      </c>
      <c r="E8" s="39" t="s">
        <v>13</v>
      </c>
      <c r="F8" s="42">
        <v>45587</v>
      </c>
      <c r="G8" s="42">
        <v>45618</v>
      </c>
      <c r="H8" s="44">
        <f>IF(COUNTA('Prot. TLD - Villa Bella I'!$F8,'Prot. TLD - Villa Bella I'!$G8)&lt;&gt;2,"",DAYS360('Prot. TLD - Villa Bella I'!$F8,'Prot. TLD - Villa Bella I'!$G8,FALSE))</f>
        <v>30</v>
      </c>
      <c r="I8" s="45">
        <v>45587</v>
      </c>
      <c r="J8" s="42">
        <v>45743</v>
      </c>
      <c r="K8" s="62"/>
      <c r="L8" s="46">
        <f>ControladorDeProjetos38[[#This Row],[Real
Término]]-ControladorDeProjetos38[[#This Row],[Real 
Início]]</f>
        <v>156</v>
      </c>
      <c r="M8" s="63" t="s">
        <v>129</v>
      </c>
      <c r="N8" s="39" t="s">
        <v>130</v>
      </c>
    </row>
    <row r="9" spans="1:14">
      <c r="A9" s="52" t="s">
        <v>40</v>
      </c>
      <c r="B9" s="61" t="s">
        <v>136</v>
      </c>
      <c r="C9" s="74" t="s">
        <v>137</v>
      </c>
      <c r="D9" s="78" t="s">
        <v>4</v>
      </c>
      <c r="E9" s="39" t="s">
        <v>13</v>
      </c>
      <c r="F9" s="42">
        <v>45622</v>
      </c>
      <c r="G9" s="42">
        <v>45652</v>
      </c>
      <c r="H9" s="44">
        <f>IF(COUNTA('Prot. TLD - Villa Bella I'!$F9,'Prot. TLD - Villa Bella I'!$G9)&lt;&gt;2,"",DAYS360('Prot. TLD - Villa Bella I'!$F9,'Prot. TLD - Villa Bella I'!$G9,FALSE))</f>
        <v>30</v>
      </c>
      <c r="I9" s="45">
        <v>45622</v>
      </c>
      <c r="J9" s="42">
        <v>45664</v>
      </c>
      <c r="K9"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9" s="46">
        <f>ControladorDeProjetos38[[#This Row],[Real
Término]]-ControladorDeProjetos38[[#This Row],[Real 
Início]]</f>
        <v>42</v>
      </c>
      <c r="M9" s="63"/>
      <c r="N9" s="39" t="s">
        <v>130</v>
      </c>
    </row>
    <row r="10" spans="1:14" ht="33">
      <c r="A10" s="52" t="s">
        <v>40</v>
      </c>
      <c r="B10" s="61" t="s">
        <v>138</v>
      </c>
      <c r="C10" s="75" t="s">
        <v>139</v>
      </c>
      <c r="D10" s="78" t="s">
        <v>4</v>
      </c>
      <c r="E10" s="39" t="s">
        <v>13</v>
      </c>
      <c r="F10" s="42">
        <v>45622</v>
      </c>
      <c r="G10" s="42">
        <v>45652</v>
      </c>
      <c r="H10" s="44">
        <f>IF(COUNTA('Prot. TLD - Villa Bella I'!$F10,'Prot. TLD - Villa Bella I'!$G10)&lt;&gt;2,"",DAYS360('Prot. TLD - Villa Bella I'!$F10,'Prot. TLD - Villa Bella I'!$G10,FALSE))</f>
        <v>30</v>
      </c>
      <c r="I10" s="45">
        <v>45622</v>
      </c>
      <c r="J10" s="42">
        <v>45639</v>
      </c>
      <c r="K10"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10" s="46">
        <f>ControladorDeProjetos38[[#This Row],[Real
Término]]-ControladorDeProjetos38[[#This Row],[Real 
Início]]</f>
        <v>17</v>
      </c>
      <c r="M10" s="63"/>
      <c r="N10" s="39" t="s">
        <v>130</v>
      </c>
    </row>
    <row r="11" spans="1:14" ht="33">
      <c r="A11" s="52" t="s">
        <v>40</v>
      </c>
      <c r="B11" s="61" t="s">
        <v>140</v>
      </c>
      <c r="C11" s="74" t="s">
        <v>141</v>
      </c>
      <c r="D11" s="79" t="s">
        <v>7</v>
      </c>
      <c r="E11" s="39" t="s">
        <v>13</v>
      </c>
      <c r="F11" s="42">
        <v>45628</v>
      </c>
      <c r="G11" s="42">
        <v>45659</v>
      </c>
      <c r="H11" s="44">
        <f>IF(COUNTA('Prot. TLD - Villa Bella I'!$F11,'Prot. TLD - Villa Bella I'!$G11)&lt;&gt;2,"",DAYS360('Prot. TLD - Villa Bella I'!$F11,'Prot. TLD - Villa Bella I'!$G11,FALSE))</f>
        <v>30</v>
      </c>
      <c r="I11" s="45">
        <v>45628</v>
      </c>
      <c r="J11" s="42">
        <v>45664</v>
      </c>
      <c r="K11"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11" s="46">
        <f>ControladorDeProjetos38[[#This Row],[Real
Término]]-ControladorDeProjetos38[[#This Row],[Real 
Início]]</f>
        <v>36</v>
      </c>
      <c r="M11" s="63"/>
      <c r="N11" s="39" t="s">
        <v>130</v>
      </c>
    </row>
    <row r="12" spans="1:14">
      <c r="A12" s="52" t="s">
        <v>40</v>
      </c>
      <c r="B12" s="61" t="s">
        <v>142</v>
      </c>
      <c r="C12" s="26" t="s">
        <v>143</v>
      </c>
      <c r="D12" s="78" t="s">
        <v>9</v>
      </c>
      <c r="E12" s="39" t="s">
        <v>13</v>
      </c>
      <c r="F12" s="42">
        <v>45664</v>
      </c>
      <c r="G12" s="42">
        <v>45695</v>
      </c>
      <c r="H12" s="44">
        <f>IF(COUNTA('Prot. TLD - Villa Bella I'!$F12,'Prot. TLD - Villa Bella I'!$G12)&lt;&gt;2,"",DAYS360('Prot. TLD - Villa Bella I'!$F12,'Prot. TLD - Villa Bella I'!$G12,FALSE))</f>
        <v>30</v>
      </c>
      <c r="I12" s="45">
        <v>45664</v>
      </c>
      <c r="J12" s="42"/>
      <c r="K12"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12" s="46">
        <f>ControladorDeProjetos38[[#This Row],[Real
Término]]-ControladorDeProjetos38[[#This Row],[Real 
Início]]</f>
        <v>-45664</v>
      </c>
      <c r="M12" s="39"/>
      <c r="N12" s="39" t="s">
        <v>144</v>
      </c>
    </row>
    <row r="13" spans="1:14" ht="33">
      <c r="A13" s="52" t="s">
        <v>40</v>
      </c>
      <c r="B13" s="26" t="s">
        <v>145</v>
      </c>
      <c r="C13" s="26" t="s">
        <v>146</v>
      </c>
      <c r="D13" s="78" t="s">
        <v>4</v>
      </c>
      <c r="E13" s="39" t="s">
        <v>13</v>
      </c>
      <c r="F13" s="42">
        <v>45667</v>
      </c>
      <c r="G13" s="42">
        <f>ControladorDeProjetos38[[#This Row],[Estimado
Início]]+30</f>
        <v>45697</v>
      </c>
      <c r="H13" s="44">
        <f>IF(COUNTA('Prot. TLD - Villa Bella I'!$F13,'Prot. TLD - Villa Bella I'!$G13)&lt;&gt;2,"",DAYS360('Prot. TLD - Villa Bella I'!$F13,'Prot. TLD - Villa Bella I'!$G13,FALSE))</f>
        <v>29</v>
      </c>
      <c r="I13" s="45">
        <v>45667</v>
      </c>
      <c r="J13" s="42">
        <v>45743</v>
      </c>
      <c r="K13"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13" s="46">
        <f>ControladorDeProjetos38[[#This Row],[Real
Término]]-ControladorDeProjetos38[[#This Row],[Real 
Início]]</f>
        <v>76</v>
      </c>
      <c r="M13" s="39"/>
      <c r="N13" s="39" t="s">
        <v>130</v>
      </c>
    </row>
    <row r="14" spans="1:14" ht="33">
      <c r="A14" s="52" t="s">
        <v>63</v>
      </c>
      <c r="B14" s="72">
        <v>20258808646103</v>
      </c>
      <c r="C14" s="57" t="s">
        <v>147</v>
      </c>
      <c r="D14" s="80" t="s">
        <v>18</v>
      </c>
      <c r="E14" s="39" t="s">
        <v>148</v>
      </c>
      <c r="F14" s="43">
        <v>45730</v>
      </c>
      <c r="G14" s="43">
        <v>45762</v>
      </c>
      <c r="H14" s="44">
        <f>IF(COUNTA('Prot. TLD - Villa Bella I'!$F14,'Prot. TLD - Villa Bella I'!$G14)&lt;&gt;2,"",DAYS360('Prot. TLD - Villa Bella I'!$F14,'Prot. TLD - Villa Bella I'!$G14,FALSE))</f>
        <v>31</v>
      </c>
      <c r="I14" s="45">
        <v>45730</v>
      </c>
      <c r="J14" s="43"/>
      <c r="K14"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14" s="47">
        <f>ControladorDeProjetos38[[#This Row],[Real
Término]]-ControladorDeProjetos38[[#This Row],[Real 
Início]]</f>
        <v>-45730</v>
      </c>
      <c r="M14" s="40" t="s">
        <v>149</v>
      </c>
      <c r="N14" s="40" t="s">
        <v>144</v>
      </c>
    </row>
    <row r="15" spans="1:14">
      <c r="A15" s="52" t="s">
        <v>88</v>
      </c>
      <c r="B15" s="57" t="s">
        <v>150</v>
      </c>
      <c r="C15" s="57" t="s">
        <v>151</v>
      </c>
      <c r="D15" s="80" t="s">
        <v>22</v>
      </c>
      <c r="E15" s="39" t="s">
        <v>148</v>
      </c>
      <c r="F15" s="43">
        <v>45735</v>
      </c>
      <c r="G15" s="43">
        <f>ControladorDeProjetos38[[#This Row],[Estimado
Início]]+30</f>
        <v>45765</v>
      </c>
      <c r="H15" s="44">
        <f>IF(COUNTA('Prot. TLD - Villa Bella I'!$F15,'Prot. TLD - Villa Bella I'!$G15)&lt;&gt;2,"",DAYS360('Prot. TLD - Villa Bella I'!$F15,'Prot. TLD - Villa Bella I'!$G15,FALSE))</f>
        <v>29</v>
      </c>
      <c r="I15" s="45">
        <v>45735</v>
      </c>
      <c r="J15" s="43"/>
      <c r="K15"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15" s="47">
        <f>ControladorDeProjetos38[[#This Row],[Real
Término]]-ControladorDeProjetos38[[#This Row],[Real 
Início]]</f>
        <v>-45735</v>
      </c>
      <c r="M15" s="40"/>
      <c r="N15" s="40" t="s">
        <v>144</v>
      </c>
    </row>
    <row r="16" spans="1:14" ht="33">
      <c r="A16" s="52" t="s">
        <v>63</v>
      </c>
      <c r="B16" s="77">
        <v>344147</v>
      </c>
      <c r="C16" s="58" t="s">
        <v>152</v>
      </c>
      <c r="D16" s="79" t="s">
        <v>7</v>
      </c>
      <c r="E16" s="41" t="s">
        <v>148</v>
      </c>
      <c r="F16" s="43">
        <v>45744</v>
      </c>
      <c r="G16" s="43">
        <f>ControladorDeProjetos38[[#This Row],[Estimado
Início]]+20</f>
        <v>45764</v>
      </c>
      <c r="H16" s="44">
        <f>IF(COUNTA('Prot. TLD - Villa Bella I'!$F16,'Prot. TLD - Villa Bella I'!$G16)&lt;&gt;2,"",DAYS360('Prot. TLD - Villa Bella I'!$F16,'Prot. TLD - Villa Bella I'!$G16,FALSE))</f>
        <v>19</v>
      </c>
      <c r="I16" s="45">
        <v>45744</v>
      </c>
      <c r="J16" s="43"/>
      <c r="K16"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16" s="47">
        <f>ControladorDeProjetos38[[#This Row],[Real
Término]]-ControladorDeProjetos38[[#This Row],[Real 
Início]]</f>
        <v>-45744</v>
      </c>
      <c r="M16" s="39" t="s">
        <v>153</v>
      </c>
      <c r="N16" s="39" t="s">
        <v>144</v>
      </c>
    </row>
    <row r="17" spans="1:14" ht="33">
      <c r="A17" s="52" t="s">
        <v>63</v>
      </c>
      <c r="B17" s="77">
        <v>344146</v>
      </c>
      <c r="C17" s="58" t="s">
        <v>154</v>
      </c>
      <c r="D17" s="79" t="s">
        <v>7</v>
      </c>
      <c r="E17" s="41" t="s">
        <v>148</v>
      </c>
      <c r="F17" s="43">
        <v>45744</v>
      </c>
      <c r="G17" s="43">
        <f>ControladorDeProjetos38[[#This Row],[Estimado
Início]]+20</f>
        <v>45764</v>
      </c>
      <c r="H17" s="44">
        <f>IF(COUNTA('Prot. TLD - Villa Bella I'!$F17,'Prot. TLD - Villa Bella I'!$G17)&lt;&gt;2,"",DAYS360('Prot. TLD - Villa Bella I'!$F17,'Prot. TLD - Villa Bella I'!$G17,FALSE))</f>
        <v>19</v>
      </c>
      <c r="I17" s="45">
        <v>45744</v>
      </c>
      <c r="J17" s="43"/>
      <c r="K17"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17" s="47">
        <f>ControladorDeProjetos38[[#This Row],[Real
Término]]-ControladorDeProjetos38[[#This Row],[Real 
Início]]</f>
        <v>-45744</v>
      </c>
      <c r="M17" s="39" t="s">
        <v>155</v>
      </c>
      <c r="N17" s="39"/>
    </row>
    <row r="18" spans="1:14" ht="33">
      <c r="A18" s="52" t="s">
        <v>63</v>
      </c>
      <c r="B18" s="84">
        <v>20259119627173</v>
      </c>
      <c r="C18" s="57" t="s">
        <v>147</v>
      </c>
      <c r="D18" s="58" t="s">
        <v>18</v>
      </c>
      <c r="E18" s="58" t="s">
        <v>148</v>
      </c>
      <c r="F18" s="112">
        <v>45771</v>
      </c>
      <c r="G18" s="112">
        <v>45803</v>
      </c>
      <c r="H18" s="113">
        <f>IF(COUNTA('Prot. TLD - Villa Bella I'!$F18,'Prot. TLD - Villa Bella I'!$G18)&lt;&gt;2,"",DAYS360('Prot. TLD - Villa Bella I'!$F18,'Prot. TLD - Villa Bella I'!$G18,FALSE))</f>
        <v>32</v>
      </c>
      <c r="I18" s="114">
        <v>45730</v>
      </c>
      <c r="J18" s="112"/>
      <c r="K18" s="115">
        <f>IFERROR(IF(ControladorDeProjetos38[[#This Row],[Duração Real (em dias)]]=0,"",IF(ABS((ControladorDeProjetos38[[#This Row],[Duração Real (em dias)]]-ControladorDeProjetos38[[#This Row],[Duração Estimada (em dias)]])/ControladorDeProjetos38[[#This Row],[Duração Estimada (em dias)]])&gt;Sinalizador_Porcentagem,1,0)),"")</f>
        <v>1</v>
      </c>
      <c r="L18" s="116">
        <f>ControladorDeProjetos38[[#This Row],[Real
Término]]-ControladorDeProjetos38[[#This Row],[Real 
Início]]</f>
        <v>-45730</v>
      </c>
      <c r="M18" s="26"/>
      <c r="N18" s="26"/>
    </row>
    <row r="19" spans="1:14" ht="33">
      <c r="A19" s="52" t="s">
        <v>40</v>
      </c>
      <c r="B19" s="84">
        <v>20259333369822</v>
      </c>
      <c r="C19" s="57" t="s">
        <v>147</v>
      </c>
      <c r="D19" s="58" t="s">
        <v>18</v>
      </c>
      <c r="E19" s="58" t="s">
        <v>148</v>
      </c>
      <c r="F19" s="112">
        <v>45766</v>
      </c>
      <c r="G19" s="112">
        <f>ControladorDeProjetos38[[#This Row],[Estimado
Início]]+30</f>
        <v>45796</v>
      </c>
      <c r="H19" s="113">
        <f>IF(COUNTA('Prot. TLD - Villa Bella I'!$F19,'Prot. TLD - Villa Bella I'!$G19)&lt;&gt;2,"",DAYS360('Prot. TLD - Villa Bella I'!$F19,'Prot. TLD - Villa Bella I'!$G19,FALSE))</f>
        <v>30</v>
      </c>
      <c r="I19" s="114">
        <v>45730</v>
      </c>
      <c r="J19" s="112">
        <v>45861</v>
      </c>
      <c r="K19" s="115">
        <f>IFERROR(IF(ControladorDeProjetos38[[#This Row],[Duração Real (em dias)]]=0,"",IF(ABS((ControladorDeProjetos38[[#This Row],[Duração Real (em dias)]]-ControladorDeProjetos38[[#This Row],[Duração Estimada (em dias)]])/ControladorDeProjetos38[[#This Row],[Duração Estimada (em dias)]])&gt;Sinalizador_Porcentagem,1,0)),"")</f>
        <v>1</v>
      </c>
      <c r="L19" s="116">
        <f>ControladorDeProjetos38[[#This Row],[Real
Término]]-ControladorDeProjetos38[[#This Row],[Real 
Início]]</f>
        <v>131</v>
      </c>
      <c r="M19" s="26"/>
      <c r="N19" s="26"/>
    </row>
    <row r="20" spans="1:14" ht="33">
      <c r="A20" s="52" t="s">
        <v>40</v>
      </c>
      <c r="B20" s="84" t="s">
        <v>156</v>
      </c>
      <c r="C20" s="58" t="s">
        <v>157</v>
      </c>
      <c r="D20" s="58" t="s">
        <v>18</v>
      </c>
      <c r="E20" s="58" t="s">
        <v>148</v>
      </c>
      <c r="F20" s="112">
        <v>45811</v>
      </c>
      <c r="G20" s="112">
        <v>45813</v>
      </c>
      <c r="H20" s="113">
        <f>IF(COUNTA('Prot. TLD - Villa Bella I'!$F20,'Prot. TLD - Villa Bella I'!$G20)&lt;&gt;2,"",DAYS360('Prot. TLD - Villa Bella I'!$F20,'Prot. TLD - Villa Bella I'!$G20,FALSE))</f>
        <v>2</v>
      </c>
      <c r="I20" s="114">
        <v>45811</v>
      </c>
      <c r="J20" s="112">
        <v>45861</v>
      </c>
      <c r="K20" s="115">
        <f>IFERROR(IF(ControladorDeProjetos38[[#This Row],[Duração Real (em dias)]]=0,"",IF(ABS((ControladorDeProjetos38[[#This Row],[Duração Real (em dias)]]-ControladorDeProjetos38[[#This Row],[Duração Estimada (em dias)]])/ControladorDeProjetos38[[#This Row],[Duração Estimada (em dias)]])&gt;Sinalizador_Porcentagem,1,0)),"")</f>
        <v>1</v>
      </c>
      <c r="L20" s="116">
        <f>ControladorDeProjetos38[[#This Row],[Real
Término]]-ControladorDeProjetos38[[#This Row],[Real 
Início]]</f>
        <v>50</v>
      </c>
      <c r="M20" s="26" t="s">
        <v>158</v>
      </c>
      <c r="N20" s="26"/>
    </row>
    <row r="21" spans="1:14">
      <c r="A21" s="52" t="s">
        <v>40</v>
      </c>
      <c r="B21" s="77">
        <v>345242</v>
      </c>
      <c r="C21" s="58" t="s">
        <v>159</v>
      </c>
      <c r="D21" s="58" t="s">
        <v>7</v>
      </c>
      <c r="E21" s="58" t="s">
        <v>148</v>
      </c>
      <c r="F21" s="112">
        <v>45826</v>
      </c>
      <c r="G21" s="112">
        <v>45841</v>
      </c>
      <c r="H21" s="113">
        <f>IF(COUNTA('Prot. TLD - Villa Bella I'!$F21,'Prot. TLD - Villa Bella I'!$G21)&lt;&gt;2,"",DAYS360('Prot. TLD - Villa Bella I'!$F21,'Prot. TLD - Villa Bella I'!$G21,FALSE))</f>
        <v>15</v>
      </c>
      <c r="I21" s="114">
        <v>45826</v>
      </c>
      <c r="J21" s="112">
        <v>45846</v>
      </c>
      <c r="K21" s="115">
        <f>IFERROR(IF(ControladorDeProjetos38[[#This Row],[Duração Real (em dias)]]=0,"",IF(ABS((ControladorDeProjetos38[[#This Row],[Duração Real (em dias)]]-ControladorDeProjetos38[[#This Row],[Duração Estimada (em dias)]])/ControladorDeProjetos38[[#This Row],[Duração Estimada (em dias)]])&gt;Sinalizador_Porcentagem,1,0)),"")</f>
        <v>1</v>
      </c>
      <c r="L21" s="116">
        <f>ControladorDeProjetos38[[#This Row],[Real
Término]]-ControladorDeProjetos38[[#This Row],[Real 
Início]]</f>
        <v>20</v>
      </c>
      <c r="M21" s="26"/>
      <c r="N21" s="26"/>
    </row>
    <row r="22" spans="1:14">
      <c r="A22" s="52" t="s">
        <v>40</v>
      </c>
      <c r="B22" s="77">
        <v>345244</v>
      </c>
      <c r="C22" s="58" t="s">
        <v>152</v>
      </c>
      <c r="D22" s="58" t="s">
        <v>7</v>
      </c>
      <c r="E22" s="58" t="s">
        <v>148</v>
      </c>
      <c r="F22" s="112">
        <v>45826</v>
      </c>
      <c r="G22" s="112">
        <v>45841</v>
      </c>
      <c r="H22" s="113">
        <f>IF(COUNTA('Prot. TLD - Villa Bella I'!$F22,'Prot. TLD - Villa Bella I'!$G22)&lt;&gt;2,"",DAYS360('Prot. TLD - Villa Bella I'!$F22,'Prot. TLD - Villa Bella I'!$G22,FALSE))</f>
        <v>15</v>
      </c>
      <c r="I22" s="114">
        <v>45826</v>
      </c>
      <c r="J22" s="112">
        <v>45846</v>
      </c>
      <c r="K22" s="115">
        <f>IFERROR(IF(ControladorDeProjetos38[[#This Row],[Duração Real (em dias)]]=0,"",IF(ABS((ControladorDeProjetos38[[#This Row],[Duração Real (em dias)]]-ControladorDeProjetos38[[#This Row],[Duração Estimada (em dias)]])/ControladorDeProjetos38[[#This Row],[Duração Estimada (em dias)]])&gt;Sinalizador_Porcentagem,1,0)),"")</f>
        <v>1</v>
      </c>
      <c r="L22" s="116">
        <f>ControladorDeProjetos38[[#This Row],[Real
Término]]-ControladorDeProjetos38[[#This Row],[Real 
Início]]</f>
        <v>20</v>
      </c>
      <c r="M22" s="26"/>
      <c r="N22" s="26"/>
    </row>
    <row r="23" spans="1:14">
      <c r="A23" s="52" t="s">
        <v>63</v>
      </c>
      <c r="B23" s="77">
        <v>24126299</v>
      </c>
      <c r="C23" s="58" t="s">
        <v>160</v>
      </c>
      <c r="D23" s="58" t="s">
        <v>9</v>
      </c>
      <c r="E23" s="58" t="s">
        <v>148</v>
      </c>
      <c r="F23" s="112">
        <v>45854</v>
      </c>
      <c r="G23" s="112">
        <f>F23+45</f>
        <v>45899</v>
      </c>
      <c r="H23" s="113">
        <f>IF(COUNTA('Prot. TLD - Villa Bella I'!$F23,'Prot. TLD - Villa Bella I'!$G23)&lt;&gt;2,"",DAYS360('Prot. TLD - Villa Bella I'!$F23,'Prot. TLD - Villa Bella I'!$G23,FALSE))</f>
        <v>44</v>
      </c>
      <c r="I23" s="114">
        <v>45854</v>
      </c>
      <c r="J23" s="112"/>
      <c r="K23" s="115" t="str">
        <f>IFERROR(IF(ControladorDeProjetos38[[#This Row],[Duração Real (em dias)]]=0,"",IF(ABS((ControladorDeProjetos38[[#This Row],[Duração Real (em dias)]]-ControladorDeProjetos38[[#This Row],[Duração Estimada (em dias)]])/ControladorDeProjetos38[[#This Row],[Duração Estimada (em dias)]])&gt;Sinalizador_Porcentagem,1,0)),"")</f>
        <v/>
      </c>
      <c r="L23" s="116" t="e">
        <f>ControladorDeProjetos38[[#This Row],[Real
Término]]-ControladorDeProjetos38[[#This Row],[Real 
Início]]</f>
        <v>#VALUE!</v>
      </c>
      <c r="M23" s="26"/>
      <c r="N23" s="26"/>
    </row>
    <row r="24" spans="1:14">
      <c r="A24" s="52" t="s">
        <v>63</v>
      </c>
      <c r="B24" s="77" t="s">
        <v>161</v>
      </c>
      <c r="C24" s="58" t="s">
        <v>162</v>
      </c>
      <c r="D24" s="58" t="s">
        <v>4</v>
      </c>
      <c r="E24" s="58" t="s">
        <v>97</v>
      </c>
      <c r="F24" s="112">
        <v>45860</v>
      </c>
      <c r="G24" s="112">
        <v>45876</v>
      </c>
      <c r="H24" s="113">
        <f>IF(COUNTA('Prot. TLD - Villa Bella I'!$F24,'Prot. TLD - Villa Bella I'!$G24)&lt;&gt;2,"",DAYS360('Prot. TLD - Villa Bella I'!$F24,'Prot. TLD - Villa Bella I'!$G24,FALSE))</f>
        <v>15</v>
      </c>
      <c r="I24" s="114">
        <v>45860</v>
      </c>
      <c r="J24" s="112"/>
      <c r="K24" s="115" t="str">
        <f>IFERROR(IF(ControladorDeProjetos38[[#This Row],[Duração Real (em dias)]]=0,"",IF(ABS((ControladorDeProjetos38[[#This Row],[Duração Real (em dias)]]-ControladorDeProjetos38[[#This Row],[Duração Estimada (em dias)]])/ControladorDeProjetos38[[#This Row],[Duração Estimada (em dias)]])&gt;Sinalizador_Porcentagem,1,0)),"")</f>
        <v/>
      </c>
      <c r="L24" s="116" t="e">
        <f>ControladorDeProjetos38[[#This Row],[Real
Término]]-ControladorDeProjetos38[[#This Row],[Real 
Início]]</f>
        <v>#VALUE!</v>
      </c>
      <c r="M24" s="26"/>
      <c r="N24" s="26"/>
    </row>
    <row r="25" spans="1:14">
      <c r="A25" s="52" t="s">
        <v>40</v>
      </c>
      <c r="B25" s="77" t="s">
        <v>163</v>
      </c>
      <c r="C25" s="58" t="s">
        <v>164</v>
      </c>
      <c r="D25" s="58" t="s">
        <v>15</v>
      </c>
      <c r="E25" s="58" t="s">
        <v>16</v>
      </c>
      <c r="F25" s="112">
        <v>45846</v>
      </c>
      <c r="G25" s="112">
        <v>45888</v>
      </c>
      <c r="H25" s="113">
        <f>IF(COUNTA('Prot. TLD - Villa Bella I'!$F25,'Prot. TLD - Villa Bella I'!$G25)&lt;&gt;2,"",DAYS360('Prot. TLD - Villa Bella I'!$F25,'Prot. TLD - Villa Bella I'!$G25,FALSE))</f>
        <v>41</v>
      </c>
      <c r="I25" s="112">
        <v>45846</v>
      </c>
      <c r="J25" s="112"/>
      <c r="K25" s="115" t="str">
        <f>IFERROR(IF(ControladorDeProjetos38[[#This Row],[Duração Real (em dias)]]=0,"",IF(ABS((ControladorDeProjetos38[[#This Row],[Duração Real (em dias)]]-ControladorDeProjetos38[[#This Row],[Duração Estimada (em dias)]])/ControladorDeProjetos38[[#This Row],[Duração Estimada (em dias)]])&gt;Sinalizador_Porcentagem,1,0)),"")</f>
        <v/>
      </c>
      <c r="L25" s="116" t="e">
        <f>ControladorDeProjetos38[[#This Row],[Real
Término]]-ControladorDeProjetos38[[#This Row],[Real 
Início]]</f>
        <v>#VALUE!</v>
      </c>
      <c r="M25" s="26"/>
      <c r="N25" s="26"/>
    </row>
    <row r="26" spans="1:14">
      <c r="A26" s="52" t="s">
        <v>40</v>
      </c>
      <c r="B26" s="26" t="s">
        <v>165</v>
      </c>
      <c r="C26" s="26" t="s">
        <v>166</v>
      </c>
      <c r="D26" s="74" t="s">
        <v>4</v>
      </c>
      <c r="E26" s="26" t="s">
        <v>97</v>
      </c>
      <c r="F26" s="117">
        <v>45905</v>
      </c>
      <c r="G26" s="117">
        <f>F26+15</f>
        <v>45920</v>
      </c>
      <c r="H26" s="113">
        <f>IF(COUNTA('Prot. TLD - Villa Bella I'!$F26,'Prot. TLD - Villa Bella I'!$G26)&lt;&gt;2,"",DAYS360('Prot. TLD - Villa Bella I'!$F26,'Prot. TLD - Villa Bella I'!$G26,FALSE))</f>
        <v>15</v>
      </c>
      <c r="I26" s="114">
        <v>45905</v>
      </c>
      <c r="J26" s="117"/>
      <c r="K26" s="115" t="str">
        <f>IFERROR(IF(ControladorDeProjetos38[[#This Row],[Duração Real (em dias)]]=0,"",IF(ABS((ControladorDeProjetos38[[#This Row],[Duração Real (em dias)]]-ControladorDeProjetos38[[#This Row],[Duração Estimada (em dias)]])/ControladorDeProjetos38[[#This Row],[Duração Estimada (em dias)]])&gt;Sinalizador_Porcentagem,1,0)),"")</f>
        <v/>
      </c>
      <c r="L26" s="118"/>
      <c r="M26" s="26"/>
      <c r="N26" s="26"/>
    </row>
    <row r="27" spans="1:14">
      <c r="A27" s="99" t="s">
        <v>40</v>
      </c>
      <c r="B27" s="128">
        <v>353321</v>
      </c>
      <c r="C27" s="119" t="s">
        <v>167</v>
      </c>
      <c r="D27" s="119" t="s">
        <v>7</v>
      </c>
      <c r="E27" s="119" t="s">
        <v>97</v>
      </c>
      <c r="F27" s="120">
        <v>46057</v>
      </c>
      <c r="G27" s="120">
        <v>46073</v>
      </c>
      <c r="H27" s="113">
        <f>IF(COUNTA('Prot. TLD - Villa Bella I'!$F27,'Prot. TLD - Villa Bella I'!$G27)&lt;&gt;2,"",DAYS360('Prot. TLD - Villa Bella I'!$F27,'Prot. TLD - Villa Bella I'!$G27,FALSE))</f>
        <v>16</v>
      </c>
      <c r="I27" s="121">
        <v>46057</v>
      </c>
      <c r="J27" s="120">
        <v>46099</v>
      </c>
      <c r="K27" s="122"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27" s="123" t="str">
        <f>IF(COUNTA('Prot. CVEL - Bella Citta'!$I27,'Prot. CVEL - Bella Citta'!$J27)&lt;&gt;2,"",DAYS360('Prot. CVEL - Bella Citta'!$I27,'Prot. CVEL - Bella Citta'!$J27,FALSE))</f>
        <v/>
      </c>
      <c r="M27" s="119"/>
      <c r="N27" s="119"/>
    </row>
    <row r="28" spans="1:14">
      <c r="A28" s="99" t="s">
        <v>88</v>
      </c>
      <c r="B28" s="119" t="s">
        <v>168</v>
      </c>
      <c r="C28" s="119" t="s">
        <v>169</v>
      </c>
      <c r="D28" s="119" t="s">
        <v>4</v>
      </c>
      <c r="E28" s="119" t="s">
        <v>5</v>
      </c>
      <c r="F28" s="120">
        <v>46079</v>
      </c>
      <c r="G28" s="120">
        <v>46107</v>
      </c>
      <c r="H28" s="113">
        <f>IF(COUNTA('Prot. TLD - Villa Bella I'!$F28,'Prot. TLD - Villa Bella I'!$G28)&lt;&gt;2,"",DAYS360('Prot. TLD - Villa Bella I'!$F28,'Prot. TLD - Villa Bella I'!$G28,FALSE))</f>
        <v>30</v>
      </c>
      <c r="I28" s="121">
        <v>46079</v>
      </c>
      <c r="J28" s="120"/>
      <c r="K28" s="122"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28" s="123" t="str">
        <f>IF(COUNTA('Prot. CVEL - Bella Citta'!$I28,'Prot. CVEL - Bella Citta'!$J28)&lt;&gt;2,"",DAYS360('Prot. CVEL - Bella Citta'!$I28,'Prot. CVEL - Bella Citta'!$J28,FALSE))</f>
        <v/>
      </c>
      <c r="M28" s="119"/>
      <c r="N28" s="119"/>
    </row>
    <row r="29" spans="1:14">
      <c r="A29" s="41"/>
      <c r="B29" s="58"/>
      <c r="C29" s="58"/>
      <c r="D29" s="41"/>
      <c r="E29" s="43"/>
      <c r="F29" s="43"/>
      <c r="G29" s="44"/>
      <c r="H29" s="45"/>
      <c r="I29" s="43"/>
      <c r="J29" s="62"/>
      <c r="K29" s="47"/>
      <c r="L29" s="39"/>
      <c r="M29" s="39"/>
    </row>
    <row r="30" spans="1:14">
      <c r="A30" s="41"/>
      <c r="B30" s="58"/>
      <c r="C30" s="58"/>
      <c r="D30" s="41"/>
      <c r="E30" s="43"/>
      <c r="F30" s="43"/>
      <c r="G30" s="44"/>
      <c r="H30" s="45"/>
      <c r="I30" s="43"/>
      <c r="J30" s="62"/>
      <c r="K30" s="47"/>
      <c r="L30" s="39"/>
      <c r="M30" s="39"/>
    </row>
    <row r="31" spans="1:14">
      <c r="A31" s="41"/>
      <c r="B31" s="58"/>
      <c r="C31" s="58"/>
      <c r="D31" s="41"/>
      <c r="E31" s="43"/>
      <c r="F31" s="43"/>
      <c r="G31" s="44"/>
      <c r="H31" s="45"/>
      <c r="I31" s="43"/>
      <c r="J31" s="62"/>
      <c r="K31" s="47"/>
      <c r="L31" s="39"/>
      <c r="M31" s="39"/>
    </row>
    <row r="32" spans="1:14">
      <c r="A32" s="41"/>
      <c r="B32" s="58"/>
      <c r="C32" s="58"/>
      <c r="D32" s="41"/>
      <c r="E32" s="43"/>
      <c r="F32" s="43"/>
      <c r="G32" s="44"/>
      <c r="H32" s="45"/>
      <c r="I32" s="43"/>
      <c r="J32" s="62"/>
      <c r="K32" s="47"/>
      <c r="L32" s="39"/>
      <c r="M32" s="39"/>
    </row>
    <row r="33" spans="1:13">
      <c r="A33" s="41"/>
      <c r="B33" s="58"/>
      <c r="C33" s="58"/>
      <c r="D33" s="41"/>
      <c r="E33" s="43"/>
      <c r="F33" s="43"/>
      <c r="G33" s="44"/>
      <c r="H33" s="45"/>
      <c r="I33" s="43"/>
      <c r="J33" s="62"/>
      <c r="K33" s="47"/>
      <c r="L33" s="39"/>
      <c r="M33" s="39"/>
    </row>
    <row r="34" spans="1:13">
      <c r="A34" s="41"/>
      <c r="B34" s="58"/>
      <c r="C34" s="58"/>
      <c r="D34" s="41"/>
      <c r="E34" s="43"/>
      <c r="F34" s="43"/>
      <c r="G34" s="44"/>
      <c r="H34" s="45"/>
      <c r="I34" s="43"/>
      <c r="J34" s="62"/>
      <c r="K34" s="47"/>
      <c r="L34" s="39"/>
      <c r="M34" s="39"/>
    </row>
    <row r="35" spans="1:13">
      <c r="A35" s="41"/>
      <c r="B35" s="58"/>
      <c r="C35" s="58"/>
      <c r="D35" s="41"/>
      <c r="E35" s="43"/>
      <c r="F35" s="43"/>
      <c r="G35" s="44"/>
      <c r="H35" s="45"/>
      <c r="I35" s="43"/>
      <c r="J35" s="62"/>
      <c r="K35" s="47"/>
      <c r="L35" s="39"/>
      <c r="M35" s="39"/>
    </row>
    <row r="36" spans="1:13">
      <c r="A36" s="41"/>
      <c r="B36" s="58"/>
      <c r="C36" s="58"/>
      <c r="D36" s="41"/>
      <c r="E36" s="43"/>
      <c r="F36" s="43"/>
      <c r="G36" s="44"/>
      <c r="H36" s="45"/>
      <c r="I36" s="43"/>
      <c r="J36" s="62"/>
      <c r="K36" s="47"/>
      <c r="L36" s="39"/>
      <c r="M36" s="39"/>
    </row>
    <row r="37" spans="1:13">
      <c r="A37" s="41"/>
      <c r="B37" s="58"/>
      <c r="C37" s="58"/>
      <c r="D37" s="41"/>
      <c r="E37" s="43"/>
      <c r="F37" s="43"/>
      <c r="G37" s="44"/>
      <c r="H37" s="45"/>
      <c r="I37" s="43"/>
      <c r="J37" s="62"/>
      <c r="K37" s="47"/>
      <c r="L37" s="39"/>
      <c r="M37" s="39"/>
    </row>
    <row r="38" spans="1:13">
      <c r="A38" s="41"/>
      <c r="B38" s="58"/>
      <c r="C38" s="58"/>
      <c r="D38" s="41"/>
      <c r="E38" s="43"/>
      <c r="F38" s="43"/>
      <c r="G38" s="44"/>
      <c r="H38" s="45"/>
      <c r="I38" s="43"/>
      <c r="J38" s="62"/>
      <c r="K38" s="47"/>
      <c r="L38" s="39"/>
      <c r="M38" s="39"/>
    </row>
    <row r="39" spans="1:13">
      <c r="A39" s="41"/>
      <c r="B39" s="58"/>
      <c r="C39" s="58"/>
      <c r="D39" s="41"/>
      <c r="E39" s="43"/>
      <c r="F39" s="43"/>
      <c r="G39" s="44"/>
      <c r="H39" s="45"/>
      <c r="I39" s="43"/>
      <c r="J39" s="62"/>
      <c r="K39" s="47"/>
      <c r="L39" s="39"/>
      <c r="M39" s="39"/>
    </row>
    <row r="40" spans="1:13">
      <c r="A40" s="41"/>
      <c r="B40" s="58"/>
      <c r="C40" s="58"/>
      <c r="D40" s="41"/>
      <c r="E40" s="43"/>
      <c r="F40" s="43"/>
      <c r="G40" s="44"/>
      <c r="H40" s="45"/>
      <c r="I40" s="43"/>
      <c r="J40" s="62"/>
      <c r="K40" s="47"/>
      <c r="L40" s="39"/>
      <c r="M40" s="39"/>
    </row>
    <row r="41" spans="1:13">
      <c r="A41" s="41"/>
      <c r="B41" s="58"/>
      <c r="C41" s="58"/>
      <c r="D41" s="41"/>
      <c r="E41" s="43"/>
      <c r="F41" s="43"/>
      <c r="G41" s="44"/>
      <c r="H41" s="45"/>
      <c r="I41" s="43"/>
      <c r="J41" s="62"/>
      <c r="K41" s="47"/>
      <c r="L41" s="39"/>
      <c r="M41" s="39"/>
    </row>
    <row r="42" spans="1:13">
      <c r="A42" s="41"/>
      <c r="B42" s="58"/>
      <c r="C42" s="58"/>
      <c r="D42" s="41"/>
      <c r="E42" s="43"/>
      <c r="F42" s="43"/>
      <c r="G42" s="44"/>
      <c r="H42" s="45"/>
      <c r="I42" s="43"/>
      <c r="J42" s="62"/>
      <c r="K42" s="47"/>
      <c r="L42" s="39"/>
      <c r="M42" s="39"/>
    </row>
  </sheetData>
  <mergeCells count="2">
    <mergeCell ref="I1:N3"/>
    <mergeCell ref="A1:D1"/>
  </mergeCells>
  <conditionalFormatting sqref="A5:A28">
    <cfRule type="containsText" dxfId="252" priority="2" operator="containsText" text="ANÁL">
      <formula>NOT(ISERROR(SEARCH("ANÁL",A5)))</formula>
    </cfRule>
    <cfRule type="containsText" dxfId="251" priority="3" operator="containsText" text="CANC">
      <formula>NOT(ISERROR(SEARCH("CANC",A5)))</formula>
    </cfRule>
    <cfRule type="containsText" dxfId="250" priority="4" operator="containsText" text="APRO">
      <formula>NOT(ISERROR(SEARCH("APRO",A5)))</formula>
    </cfRule>
    <cfRule type="containsText" dxfId="249" priority="5" operator="containsText" text="ANÁL">
      <formula>NOT(ISERROR(SEARCH("ANÁL",A5)))</formula>
    </cfRule>
    <cfRule type="containsText" dxfId="248" priority="6" operator="containsText" text="CANC.">
      <formula>NOT(ISERROR(SEARCH("CANC.",A5)))</formula>
    </cfRule>
    <cfRule type="containsText" dxfId="247" priority="7" operator="containsText" text="APRO.">
      <formula>NOT(ISERROR(SEARCH("APRO.",A5)))</formula>
    </cfRule>
  </conditionalFormatting>
  <conditionalFormatting sqref="A27:A28">
    <cfRule type="containsText" dxfId="246" priority="1" operator="containsText" text="ANÁLISE">
      <formula>NOT(ISERROR(SEARCH("ANÁLISE",A27)))</formula>
    </cfRule>
  </conditionalFormatting>
  <conditionalFormatting sqref="K29:K42">
    <cfRule type="expression" dxfId="245" priority="66">
      <formula>(ABS((K29-G29))/G29)&gt;Sinalizador_Porcentagem</formula>
    </cfRule>
  </conditionalFormatting>
  <conditionalFormatting sqref="L5:L28">
    <cfRule type="expression" dxfId="244" priority="8">
      <formula>(ABS((L5-H5))/H5)&gt;Sinalizador_Porcentagem</formula>
    </cfRule>
  </conditionalFormatting>
  <dataValidations count="15">
    <dataValidation allowBlank="1" showInputMessage="1" showErrorMessage="1" prompt="Porcentagem acima/abaixo personalizáveis usadas para realçar o trabalho real em horas e dias na tabela de projetos que excedam ou fiquem abaixo deste número" sqref="D2" xr:uid="{00000000-0002-0000-0100-000000000000}"/>
    <dataValidation allowBlank="1" showInputMessage="1" showErrorMessage="1" prompt="Insira os nomes de projetos nesta coluna" sqref="A4:C4" xr:uid="{00000000-0002-0000-0100-000001000000}"/>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00000000-0002-0000-0100-000002000000}"/>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00000000-0002-0000-0100-000003000000}"/>
    <dataValidation allowBlank="1" showInputMessage="1" showErrorMessage="1" prompt="Insira a data de início estimada do projeto nesta coluna" sqref="F4" xr:uid="{00000000-0002-0000-0100-000004000000}"/>
    <dataValidation allowBlank="1" showInputMessage="1" showErrorMessage="1" prompt="Insira a data de término estimada do projeto nesta coluna" sqref="G4" xr:uid="{00000000-0002-0000-0100-000005000000}"/>
    <dataValidation allowBlank="1" showInputMessage="1" showErrorMessage="1" prompt="Insira a duração estimada do projeto em dias nesta coluna" sqref="H4" xr:uid="{00000000-0002-0000-0100-000006000000}"/>
    <dataValidation allowBlank="1" showInputMessage="1" showErrorMessage="1" prompt="Insira a data de início real do projeto nesta coluna" sqref="I4" xr:uid="{00000000-0002-0000-0100-000007000000}"/>
    <dataValidation allowBlank="1" showInputMessage="1" showErrorMessage="1" prompt="Insira a data de término real do projeto nesta coluna" sqref="J4" xr:uid="{00000000-0002-0000-0100-000008000000}"/>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00000000-0002-0000-0100-000009000000}"/>
    <dataValidation allowBlank="1" showInputMessage="1" showErrorMessage="1" prompt="Insira a duração real de projeto em dias. Valores que atendem aos critérios Acima/Abaixo são destacados em negrito vermelho e geram um ícone de sinalizador na coluna M à esquerda" sqref="L4" xr:uid="{00000000-0002-0000-0100-00000A000000}"/>
    <dataValidation allowBlank="1" showInputMessage="1" showErrorMessage="1" prompt="Insira anotações para os projetos nesta coluna" sqref="M4:N4" xr:uid="{00000000-0002-0000-0100-00000B000000}"/>
    <dataValidation type="list" allowBlank="1" showInputMessage="1" showErrorMessage="1" sqref="A5:A28" xr:uid="{00000000-0002-0000-0100-00000C000000}">
      <formula1>"APRO, ANÁL, CANC,"</formula1>
    </dataValidation>
    <dataValidation type="list" allowBlank="1" showInputMessage="1" showErrorMessage="1" error="Selecione uma categoria na lista ou crie uma nova categoria para exibir nesta lista da planilha Configuração." sqref="D5:D28" xr:uid="{00000000-0002-0000-0100-00000D000000}">
      <formula1>Categoria_Lista</formula1>
    </dataValidation>
    <dataValidation type="list" allowBlank="1" showInputMessage="1" showErrorMessage="1" error="Selecione um funcionário na lista ou crie um novo funcionário para exibir nesta lista da planilha Configuração." sqref="E5:E28" xr:uid="{00000000-0002-0000-0100-00000E000000}">
      <formula1>Funcionário_Lista</formula1>
    </dataValidation>
  </dataValidations>
  <printOptions horizontalCentered="1"/>
  <pageMargins left="0.25" right="0.25" top="0.75" bottom="0.7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67" id="{D03761DD-FE6B-43D4-8E60-8069AFAE6296}">
            <x14:iconSet custom="1">
              <x14:cfvo type="percent">
                <xm:f>0</xm:f>
              </x14:cfvo>
              <x14:cfvo type="num">
                <xm:f>0</xm:f>
              </x14:cfvo>
              <x14:cfvo type="num">
                <xm:f>1</xm:f>
              </x14:cfvo>
              <x14:cfIcon iconSet="NoIcons" iconId="0"/>
              <x14:cfIcon iconSet="NoIcons" iconId="0"/>
              <x14:cfIcon iconSet="3Flags" iconId="0"/>
            </x14:iconSet>
          </x14:cfRule>
          <xm:sqref>J29:J42 K5:K19 K21:K26</xm:sqref>
        </x14:conditionalFormatting>
        <x14:conditionalFormatting xmlns:xm="http://schemas.microsoft.com/office/excel/2006/main">
          <x14:cfRule type="iconSet" priority="17" id="{2BACD3B2-C8CC-40BB-8D01-93A0E061BEB6}">
            <x14:iconSet custom="1">
              <x14:cfvo type="percent">
                <xm:f>0</xm:f>
              </x14:cfvo>
              <x14:cfvo type="num">
                <xm:f>0</xm:f>
              </x14:cfvo>
              <x14:cfvo type="num">
                <xm:f>1</xm:f>
              </x14:cfvo>
              <x14:cfIcon iconSet="NoIcons" iconId="0"/>
              <x14:cfIcon iconSet="NoIcons" iconId="0"/>
              <x14:cfIcon iconSet="3Flags" iconId="0"/>
            </x14:iconSet>
          </x14:cfRule>
          <xm:sqref>K20</xm:sqref>
        </x14:conditionalFormatting>
        <x14:conditionalFormatting xmlns:xm="http://schemas.microsoft.com/office/excel/2006/main">
          <x14:cfRule type="iconSet" priority="9" id="{04DDC6DA-FDE3-4283-AD1A-20F2F3E7BE3D}">
            <x14:iconSet custom="1">
              <x14:cfvo type="percent">
                <xm:f>0</xm:f>
              </x14:cfvo>
              <x14:cfvo type="num">
                <xm:f>0</xm:f>
              </x14:cfvo>
              <x14:cfvo type="num">
                <xm:f>1</xm:f>
              </x14:cfvo>
              <x14:cfIcon iconSet="NoIcons" iconId="0"/>
              <x14:cfIcon iconSet="NoIcons" iconId="0"/>
              <x14:cfIcon iconSet="3Flags" iconId="0"/>
            </x14:iconSet>
          </x14:cfRule>
          <xm:sqref>K27:K28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pageSetUpPr fitToPage="1"/>
  </sheetPr>
  <dimension ref="A1:N11"/>
  <sheetViews>
    <sheetView workbookViewId="0">
      <selection activeCell="A5" sqref="A5"/>
    </sheetView>
  </sheetViews>
  <sheetFormatPr defaultRowHeight="16.5"/>
  <cols>
    <col min="1" max="1" width="10.125" bestFit="1" customWidth="1"/>
    <col min="2" max="2" width="23.25" bestFit="1" customWidth="1"/>
    <col min="3" max="3" width="41" bestFit="1" customWidth="1"/>
    <col min="4" max="4" width="20.125" bestFit="1" customWidth="1"/>
    <col min="5" max="5" width="17.75" bestFit="1" customWidth="1"/>
    <col min="6" max="6" width="17.5" bestFit="1" customWidth="1"/>
    <col min="7" max="7" width="13.75" bestFit="1" customWidth="1"/>
    <col min="8" max="8" width="21.375" bestFit="1" customWidth="1"/>
    <col min="9" max="9" width="10.5" bestFit="1" customWidth="1"/>
    <col min="10" max="10" width="12" bestFit="1" customWidth="1"/>
    <col min="11" max="11" width="25.25" bestFit="1" customWidth="1"/>
    <col min="12" max="12" width="26.25" bestFit="1" customWidth="1"/>
    <col min="13" max="13" width="28.75" bestFit="1" customWidth="1"/>
    <col min="14" max="14" width="13.25" bestFit="1" customWidth="1"/>
  </cols>
  <sheetData>
    <row r="1" spans="1:14" ht="33">
      <c r="A1" s="131" t="s">
        <v>170</v>
      </c>
      <c r="B1" s="131"/>
      <c r="C1" s="131"/>
      <c r="D1" s="131"/>
      <c r="E1" s="69" t="s">
        <v>120</v>
      </c>
      <c r="F1" s="69" t="s">
        <v>121</v>
      </c>
      <c r="G1" s="31"/>
      <c r="H1" s="34"/>
      <c r="I1" s="130" t="e" vm="1">
        <v>#VALUE!</v>
      </c>
      <c r="J1" s="130"/>
      <c r="K1" s="130"/>
      <c r="L1" s="130"/>
      <c r="M1" s="130"/>
      <c r="N1" s="130"/>
    </row>
    <row r="2" spans="1:14" ht="33.6" customHeight="1">
      <c r="A2" s="48"/>
      <c r="B2" s="54"/>
      <c r="C2" s="55" t="s">
        <v>26</v>
      </c>
      <c r="D2" s="20"/>
      <c r="E2" s="34" t="s">
        <v>124</v>
      </c>
      <c r="F2" s="31" t="s">
        <v>125</v>
      </c>
      <c r="G2" s="31"/>
      <c r="H2" s="34"/>
      <c r="I2" s="130"/>
      <c r="J2" s="130"/>
      <c r="K2" s="130"/>
      <c r="L2" s="130"/>
      <c r="M2" s="130"/>
      <c r="N2" s="130"/>
    </row>
    <row r="3" spans="1:14" ht="33.6" customHeight="1">
      <c r="A3" s="31"/>
      <c r="B3" s="55"/>
      <c r="C3" s="55"/>
      <c r="D3" s="31"/>
      <c r="E3" s="34" t="s">
        <v>122</v>
      </c>
      <c r="F3" s="34" t="s">
        <v>123</v>
      </c>
      <c r="G3" s="31"/>
      <c r="H3" s="34"/>
      <c r="I3" s="130"/>
      <c r="J3" s="130"/>
      <c r="K3" s="130"/>
      <c r="L3" s="130"/>
      <c r="M3" s="130"/>
      <c r="N3" s="130"/>
    </row>
    <row r="4" spans="1:14" ht="42.75">
      <c r="A4" s="35" t="s">
        <v>126</v>
      </c>
      <c r="B4" s="56" t="s">
        <v>28</v>
      </c>
      <c r="C4" s="56" t="s">
        <v>29</v>
      </c>
      <c r="D4" s="35" t="s">
        <v>1</v>
      </c>
      <c r="E4" s="35" t="s">
        <v>30</v>
      </c>
      <c r="F4" s="36" t="s">
        <v>31</v>
      </c>
      <c r="G4" s="36" t="s">
        <v>32</v>
      </c>
      <c r="H4" s="29" t="s">
        <v>33</v>
      </c>
      <c r="I4" s="37" t="s">
        <v>34</v>
      </c>
      <c r="J4" s="36" t="s">
        <v>35</v>
      </c>
      <c r="K4" s="28" t="s">
        <v>36</v>
      </c>
      <c r="L4" s="38" t="s">
        <v>37</v>
      </c>
      <c r="M4" s="35" t="s">
        <v>38</v>
      </c>
      <c r="N4" s="35" t="s">
        <v>39</v>
      </c>
    </row>
    <row r="5" spans="1:14" ht="33">
      <c r="A5" s="52" t="s">
        <v>40</v>
      </c>
      <c r="B5" s="26" t="s">
        <v>171</v>
      </c>
      <c r="C5" s="26" t="s">
        <v>172</v>
      </c>
      <c r="D5" s="39" t="s">
        <v>4</v>
      </c>
      <c r="E5" s="39" t="s">
        <v>148</v>
      </c>
      <c r="F5" s="42">
        <v>45706</v>
      </c>
      <c r="G5" s="42">
        <v>45767</v>
      </c>
      <c r="H5" s="70">
        <f>IF(COUNTA('Prot. TLD - Villa Bella I'!$F13,'Prot. TLD - Villa Bella I'!$G13)&lt;&gt;2,"",DAYS360('Prot. TLD - Villa Bella I'!$F13,'Prot. TLD - Villa Bella I'!$G13,FALSE))</f>
        <v>29</v>
      </c>
      <c r="I5" s="45"/>
      <c r="J5" s="42"/>
      <c r="K5"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5" s="46">
        <f>ControladorDeProjetos38[[#This Row],[Real
Término]]-ControladorDeProjetos38[[#This Row],[Real 
Início]]</f>
        <v>70</v>
      </c>
      <c r="M5" s="39" t="s">
        <v>173</v>
      </c>
      <c r="N5" s="39" t="s">
        <v>144</v>
      </c>
    </row>
    <row r="6" spans="1:14">
      <c r="A6" s="52" t="s">
        <v>40</v>
      </c>
      <c r="B6" s="57" t="s">
        <v>174</v>
      </c>
      <c r="C6" s="57" t="s">
        <v>175</v>
      </c>
      <c r="D6" s="40" t="s">
        <v>4</v>
      </c>
      <c r="E6" s="39" t="s">
        <v>148</v>
      </c>
      <c r="F6" s="43"/>
      <c r="G6" s="43"/>
      <c r="H6" s="70">
        <f>IF(COUNTA('Prot. TLD - Villa Bella I'!$F14,'Prot. TLD - Villa Bella I'!$G14)&lt;&gt;2,"",DAYS360('Prot. TLD - Villa Bella I'!$F14,'Prot. TLD - Villa Bella I'!$G14,FALSE))</f>
        <v>31</v>
      </c>
      <c r="I6" s="45"/>
      <c r="J6" s="43"/>
      <c r="K6"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6" s="47">
        <f>ControladorDeProjetos38[[#This Row],[Real
Término]]-ControladorDeProjetos38[[#This Row],[Real 
Início]]</f>
        <v>40</v>
      </c>
      <c r="M6" s="40" t="s">
        <v>176</v>
      </c>
      <c r="N6" s="40"/>
    </row>
    <row r="7" spans="1:14" ht="33">
      <c r="A7" s="52" t="s">
        <v>40</v>
      </c>
      <c r="B7" s="88">
        <v>346063</v>
      </c>
      <c r="C7" s="57" t="s">
        <v>154</v>
      </c>
      <c r="D7" s="40" t="s">
        <v>7</v>
      </c>
      <c r="E7" s="39" t="s">
        <v>97</v>
      </c>
      <c r="F7" s="43">
        <v>45849</v>
      </c>
      <c r="G7" s="43">
        <v>45863</v>
      </c>
      <c r="H7" s="70">
        <f>G7-F7</f>
        <v>14</v>
      </c>
      <c r="I7" s="45">
        <v>45849</v>
      </c>
      <c r="J7" s="43"/>
      <c r="K7"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7" s="47"/>
      <c r="M7" s="40" t="s">
        <v>177</v>
      </c>
      <c r="N7" s="40" t="s">
        <v>144</v>
      </c>
    </row>
    <row r="8" spans="1:14" ht="33">
      <c r="A8" s="52" t="s">
        <v>40</v>
      </c>
      <c r="B8" s="77">
        <v>346065</v>
      </c>
      <c r="C8" s="58" t="s">
        <v>178</v>
      </c>
      <c r="D8" s="41" t="s">
        <v>7</v>
      </c>
      <c r="E8" s="41" t="s">
        <v>97</v>
      </c>
      <c r="F8" s="43">
        <v>45849</v>
      </c>
      <c r="G8" s="43">
        <v>45863</v>
      </c>
      <c r="H8" s="70">
        <f>G8-F8</f>
        <v>14</v>
      </c>
      <c r="I8" s="45">
        <v>45849</v>
      </c>
      <c r="J8" s="43"/>
      <c r="K8"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8" s="47"/>
      <c r="M8" s="39"/>
      <c r="N8" s="39" t="s">
        <v>144</v>
      </c>
    </row>
    <row r="9" spans="1:14" ht="30" customHeight="1">
      <c r="A9" s="52" t="s">
        <v>40</v>
      </c>
      <c r="B9" s="77">
        <v>309448</v>
      </c>
      <c r="C9" s="58" t="s">
        <v>179</v>
      </c>
      <c r="D9" s="41" t="s">
        <v>7</v>
      </c>
      <c r="E9" s="40" t="s">
        <v>148</v>
      </c>
      <c r="F9" s="43">
        <v>45875</v>
      </c>
      <c r="G9" s="89">
        <v>45882</v>
      </c>
      <c r="H9" s="44">
        <f>IF(COUNTA('Prot. TLD - Villa Bella II'!$F9,'Prot. TLD - Villa Bella II'!$G9)&lt;&gt;2,"",DAYS360('Prot. TLD - Villa Bella II'!$F9,'Prot. TLD - Villa Bella II'!$G9,FALSE))</f>
        <v>7</v>
      </c>
      <c r="I9" s="45">
        <v>45875</v>
      </c>
      <c r="J9" s="43"/>
      <c r="K9" s="62">
        <f>IFERROR(IF(ControladorDeProjetos369[[#This Row],[Duração Real (em dias)]]=0,"",IF(ABS((ControladorDeProjetos369[[#This Row],[Duração Real (em dias)]]-ControladorDeProjetos369[[#This Row],[Duração Estimada (em dias)]])/ControladorDeProjetos369[[#This Row],[Duração Estimada (em dias)]])&gt;Sinalizador_Porcentagem,1,0)),"")</f>
        <v>0</v>
      </c>
      <c r="L9" s="47">
        <f>ControladorDeProjetos369[[#This Row],[Real
Término]]-ControladorDeProjetos369[[#This Row],[Real 
Início]]</f>
        <v>7</v>
      </c>
      <c r="M9" s="41"/>
      <c r="N9" s="41"/>
    </row>
    <row r="10" spans="1:14">
      <c r="A10" s="52" t="s">
        <v>40</v>
      </c>
      <c r="B10" s="58" t="s">
        <v>180</v>
      </c>
      <c r="C10" s="60" t="s">
        <v>181</v>
      </c>
      <c r="D10" s="41" t="s">
        <v>15</v>
      </c>
      <c r="E10" s="41" t="s">
        <v>16</v>
      </c>
      <c r="F10" s="43">
        <v>45849</v>
      </c>
      <c r="G10" s="43">
        <v>45891</v>
      </c>
      <c r="H10" s="44">
        <f>IF(COUNTA('Prot. TLD - Villa Bella II'!$F10,'Prot. TLD - Villa Bella II'!$G10)&lt;&gt;2,"",DAYS360('Prot. TLD - Villa Bella II'!$F10,'Prot. TLD - Villa Bella II'!$G10,FALSE))</f>
        <v>41</v>
      </c>
      <c r="I10" s="43">
        <v>45849</v>
      </c>
      <c r="J10" s="43">
        <v>45903</v>
      </c>
      <c r="K10"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10" s="47"/>
      <c r="M10" s="39" t="s">
        <v>182</v>
      </c>
      <c r="N10" s="39" t="s">
        <v>129</v>
      </c>
    </row>
    <row r="11" spans="1:14">
      <c r="A11" s="52" t="s">
        <v>40</v>
      </c>
      <c r="B11" s="26" t="s">
        <v>183</v>
      </c>
      <c r="C11" s="26" t="s">
        <v>184</v>
      </c>
      <c r="D11" s="97" t="s">
        <v>4</v>
      </c>
      <c r="E11" s="39" t="s">
        <v>148</v>
      </c>
      <c r="F11" s="42">
        <v>45905</v>
      </c>
      <c r="G11" s="42">
        <f>F11+15</f>
        <v>45920</v>
      </c>
      <c r="H11" s="44">
        <v>15</v>
      </c>
      <c r="I11" s="45">
        <v>45905</v>
      </c>
      <c r="J11" s="42"/>
      <c r="K11" s="62">
        <f>IFERROR(IF(ControladorDeProjetos38[[#This Row],[Duração Real (em dias)]]=0,"",IF(ABS((ControladorDeProjetos38[[#This Row],[Duração Real (em dias)]]-ControladorDeProjetos38[[#This Row],[Duração Estimada (em dias)]])/ControladorDeProjetos38[[#This Row],[Duração Estimada (em dias)]])&gt;Sinalizador_Porcentagem,1,0)),"")</f>
        <v>1</v>
      </c>
      <c r="L11" s="46"/>
      <c r="M11" s="39"/>
      <c r="N11" s="39" t="s">
        <v>185</v>
      </c>
    </row>
  </sheetData>
  <mergeCells count="2">
    <mergeCell ref="A1:D1"/>
    <mergeCell ref="I1:N3"/>
  </mergeCells>
  <conditionalFormatting sqref="A5:A10">
    <cfRule type="containsText" dxfId="227" priority="10" operator="containsText" text="ANÁL">
      <formula>NOT(ISERROR(SEARCH("ANÁL",A5)))</formula>
    </cfRule>
    <cfRule type="containsText" dxfId="226" priority="11" operator="containsText" text="CANC">
      <formula>NOT(ISERROR(SEARCH("CANC",A5)))</formula>
    </cfRule>
    <cfRule type="containsText" dxfId="225" priority="12" operator="containsText" text="APRO">
      <formula>NOT(ISERROR(SEARCH("APRO",A5)))</formula>
    </cfRule>
    <cfRule type="containsText" dxfId="224" priority="13" operator="containsText" text="ANÁL">
      <formula>NOT(ISERROR(SEARCH("ANÁL",A5)))</formula>
    </cfRule>
    <cfRule type="containsText" dxfId="223" priority="14" operator="containsText" text="CANC.">
      <formula>NOT(ISERROR(SEARCH("CANC.",A5)))</formula>
    </cfRule>
    <cfRule type="containsText" dxfId="222" priority="15" operator="containsText" text="APRO.">
      <formula>NOT(ISERROR(SEARCH("APRO.",A5)))</formula>
    </cfRule>
  </conditionalFormatting>
  <conditionalFormatting sqref="A9">
    <cfRule type="containsText" dxfId="221" priority="9" operator="containsText" text="ANÁLISE">
      <formula>NOT(ISERROR(SEARCH("ANÁLISE",A9)))</formula>
    </cfRule>
  </conditionalFormatting>
  <conditionalFormatting sqref="A11">
    <cfRule type="containsText" dxfId="220" priority="1" operator="containsText" text="ANÁL">
      <formula>NOT(ISERROR(SEARCH("ANÁL",A11)))</formula>
    </cfRule>
    <cfRule type="containsText" dxfId="219" priority="2" operator="containsText" text="CANC">
      <formula>NOT(ISERROR(SEARCH("CANC",A11)))</formula>
    </cfRule>
    <cfRule type="containsText" dxfId="218" priority="3" operator="containsText" text="APRO">
      <formula>NOT(ISERROR(SEARCH("APRO",A11)))</formula>
    </cfRule>
    <cfRule type="containsText" dxfId="217" priority="4" operator="containsText" text="ANÁL">
      <formula>NOT(ISERROR(SEARCH("ANÁL",A11)))</formula>
    </cfRule>
    <cfRule type="containsText" dxfId="216" priority="5" operator="containsText" text="CANC.">
      <formula>NOT(ISERROR(SEARCH("CANC.",A11)))</formula>
    </cfRule>
    <cfRule type="containsText" dxfId="215" priority="6" operator="containsText" text="APRO.">
      <formula>NOT(ISERROR(SEARCH("APRO.",A11)))</formula>
    </cfRule>
  </conditionalFormatting>
  <conditionalFormatting sqref="L5:L11">
    <cfRule type="expression" dxfId="214" priority="7">
      <formula>(ABS((L5-H5))/H5)&gt;Sinalizador_Porcentagem</formula>
    </cfRule>
  </conditionalFormatting>
  <dataValidations count="15">
    <dataValidation allowBlank="1" showInputMessage="1" showErrorMessage="1" prompt="Insira anotações para os projetos nesta coluna" sqref="M4:N4" xr:uid="{00000000-0002-0000-0200-000000000000}"/>
    <dataValidation allowBlank="1" showInputMessage="1" showErrorMessage="1" prompt="Insira a duração real de projeto em dias. Valores que atendem aos critérios Acima/Abaixo são destacados em negrito vermelho e geram um ícone de sinalizador na coluna M à esquerda" sqref="L4" xr:uid="{00000000-0002-0000-0200-000001000000}"/>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00000000-0002-0000-0200-000002000000}"/>
    <dataValidation allowBlank="1" showInputMessage="1" showErrorMessage="1" prompt="Insira a data de término real do projeto nesta coluna" sqref="J4" xr:uid="{00000000-0002-0000-0200-000003000000}"/>
    <dataValidation allowBlank="1" showInputMessage="1" showErrorMessage="1" prompt="Insira a data de início real do projeto nesta coluna" sqref="I4" xr:uid="{00000000-0002-0000-0200-000004000000}"/>
    <dataValidation allowBlank="1" showInputMessage="1" showErrorMessage="1" prompt="Insira a duração estimada do projeto em dias nesta coluna" sqref="H4" xr:uid="{00000000-0002-0000-0200-000005000000}"/>
    <dataValidation allowBlank="1" showInputMessage="1" showErrorMessage="1" prompt="Insira a data de término estimada do projeto nesta coluna" sqref="G4" xr:uid="{00000000-0002-0000-0200-000006000000}"/>
    <dataValidation allowBlank="1" showInputMessage="1" showErrorMessage="1" prompt="Insira a data de início estimada do projeto nesta coluna" sqref="F4" xr:uid="{00000000-0002-0000-0200-000007000000}"/>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00000000-0002-0000-0200-000008000000}"/>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00000000-0002-0000-0200-000009000000}"/>
    <dataValidation allowBlank="1" showInputMessage="1" showErrorMessage="1" prompt="Insira os nomes de projetos nesta coluna" sqref="A4:C4" xr:uid="{00000000-0002-0000-0200-00000A000000}"/>
    <dataValidation allowBlank="1" showInputMessage="1" showErrorMessage="1" prompt="Porcentagem acima/abaixo personalizáveis usadas para realçar o trabalho real em horas e dias na tabela de projetos que excedam ou fiquem abaixo deste número" sqref="D2" xr:uid="{00000000-0002-0000-0200-00000B000000}"/>
    <dataValidation type="list" allowBlank="1" showInputMessage="1" showErrorMessage="1" sqref="A5:A11" xr:uid="{00000000-0002-0000-0200-00000C000000}">
      <formula1>"APRO, ANÁL, CANC,"</formula1>
    </dataValidation>
    <dataValidation type="list" allowBlank="1" showInputMessage="1" showErrorMessage="1" error="Selecione um funcionário na lista ou crie um novo funcionário para exibir nesta lista da planilha Configuração." sqref="E5:E11" xr:uid="{00000000-0002-0000-0200-00000D000000}">
      <formula1>Funcionário_Lista</formula1>
    </dataValidation>
    <dataValidation type="list" allowBlank="1" showInputMessage="1" showErrorMessage="1" error="Selecione uma categoria na lista ou crie uma nova categoria para exibir nesta lista da planilha Configuração." sqref="D5:D11" xr:uid="{00000000-0002-0000-0200-00000E000000}">
      <formula1>Categoria_Lista</formula1>
    </dataValidation>
  </dataValidations>
  <pageMargins left="0.25" right="0.25" top="0.75" bottom="0.75" header="0.3" footer="0.3"/>
  <pageSetup scale="44"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95" id="{263A92D6-EEA2-4CB7-87D8-F99B1745F43F}">
            <x14:iconSet custom="1">
              <x14:cfvo type="percent">
                <xm:f>0</xm:f>
              </x14:cfvo>
              <x14:cfvo type="num">
                <xm:f>0</xm:f>
              </x14:cfvo>
              <x14:cfvo type="num">
                <xm:f>1</xm:f>
              </x14:cfvo>
              <x14:cfIcon iconSet="NoIcons" iconId="0"/>
              <x14:cfIcon iconSet="NoIcons" iconId="0"/>
              <x14:cfIcon iconSet="3Flags" iconId="0"/>
            </x14:iconSet>
          </x14:cfRule>
          <xm:sqref>K5:K8 K10</xm:sqref>
        </x14:conditionalFormatting>
        <x14:conditionalFormatting xmlns:xm="http://schemas.microsoft.com/office/excel/2006/main">
          <x14:cfRule type="iconSet" priority="17" id="{07DD9D6A-9DC7-4835-A5DC-F288C6F7E756}">
            <x14:iconSet custom="1">
              <x14:cfvo type="percent">
                <xm:f>0</xm:f>
              </x14:cfvo>
              <x14:cfvo type="num">
                <xm:f>0</xm:f>
              </x14:cfvo>
              <x14:cfvo type="num">
                <xm:f>1</xm:f>
              </x14:cfvo>
              <x14:cfIcon iconSet="NoIcons" iconId="0"/>
              <x14:cfIcon iconSet="NoIcons" iconId="0"/>
              <x14:cfIcon iconSet="3Flags" iconId="0"/>
            </x14:iconSet>
          </x14:cfRule>
          <xm:sqref>K9</xm:sqref>
        </x14:conditionalFormatting>
        <x14:conditionalFormatting xmlns:xm="http://schemas.microsoft.com/office/excel/2006/main">
          <x14:cfRule type="iconSet" priority="8" id="{77046122-8CF1-4911-A65E-770F07CAC02E}">
            <x14:iconSet custom="1">
              <x14:cfvo type="percent">
                <xm:f>0</xm:f>
              </x14:cfvo>
              <x14:cfvo type="num">
                <xm:f>0</xm:f>
              </x14:cfvo>
              <x14:cfvo type="num">
                <xm:f>1</xm:f>
              </x14:cfvo>
              <x14:cfIcon iconSet="NoIcons" iconId="0"/>
              <x14:cfIcon iconSet="NoIcons" iconId="0"/>
              <x14:cfIcon iconSet="3Flags" iconId="0"/>
            </x14:iconSet>
          </x14:cfRule>
          <xm:sqref>K11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pageSetUpPr autoPageBreaks="0" fitToPage="1"/>
  </sheetPr>
  <dimension ref="A1:N22"/>
  <sheetViews>
    <sheetView showGridLines="0" zoomScale="115" zoomScaleNormal="115" workbookViewId="0">
      <pane ySplit="4" topLeftCell="A10" activePane="bottomLeft" state="frozen"/>
      <selection pane="bottomLeft" activeCell="B12" sqref="B12"/>
    </sheetView>
  </sheetViews>
  <sheetFormatPr defaultColWidth="9" defaultRowHeight="30" customHeight="1"/>
  <cols>
    <col min="1" max="1" width="9.25" style="31" customWidth="1"/>
    <col min="2" max="2" width="23.5" style="31" customWidth="1"/>
    <col min="3" max="3" width="20" style="31" customWidth="1"/>
    <col min="4" max="4" width="14.25" style="31" customWidth="1"/>
    <col min="5" max="5" width="9.625" style="34" customWidth="1"/>
    <col min="6" max="6" width="13.625" style="34" customWidth="1"/>
    <col min="7" max="7" width="13.625" style="31" customWidth="1"/>
    <col min="8" max="8" width="17" style="34" customWidth="1"/>
    <col min="9" max="9" width="14.25" style="34" bestFit="1" customWidth="1"/>
    <col min="10" max="10" width="18.625" style="34" customWidth="1"/>
    <col min="11" max="11" width="13.625" style="31" customWidth="1"/>
    <col min="12" max="12" width="28.25" style="31" customWidth="1"/>
    <col min="13" max="13" width="19.125" style="31" customWidth="1"/>
    <col min="14" max="14" width="20" style="31" customWidth="1"/>
    <col min="15" max="15" width="2.625" customWidth="1"/>
  </cols>
  <sheetData>
    <row r="1" spans="1:14" ht="29.25">
      <c r="A1" s="24" t="s">
        <v>186</v>
      </c>
      <c r="B1" s="65"/>
      <c r="C1" s="65"/>
      <c r="D1" s="65"/>
      <c r="E1" s="65"/>
      <c r="G1" s="34"/>
      <c r="I1" s="32"/>
      <c r="J1" s="32"/>
      <c r="L1" s="34"/>
      <c r="M1" s="34"/>
      <c r="N1" s="34"/>
    </row>
    <row r="2" spans="1:14" ht="30.75">
      <c r="A2" s="48"/>
      <c r="B2" s="48"/>
      <c r="C2" s="31" t="s">
        <v>26</v>
      </c>
      <c r="D2" s="20"/>
      <c r="I2" s="34" t="s">
        <v>187</v>
      </c>
      <c r="J2" s="31" t="s">
        <v>188</v>
      </c>
      <c r="L2" s="83"/>
      <c r="M2" s="34"/>
      <c r="N2" s="34"/>
    </row>
    <row r="3" spans="1:14" ht="16.5">
      <c r="I3" s="30"/>
      <c r="J3" s="30"/>
      <c r="L3" s="34"/>
      <c r="M3" s="34"/>
      <c r="N3" s="34"/>
    </row>
    <row r="4" spans="1:14" ht="71.25">
      <c r="A4" s="35" t="s">
        <v>126</v>
      </c>
      <c r="B4" s="35" t="s">
        <v>28</v>
      </c>
      <c r="C4" s="35" t="s">
        <v>29</v>
      </c>
      <c r="D4" s="35" t="s">
        <v>1</v>
      </c>
      <c r="E4" s="35" t="s">
        <v>30</v>
      </c>
      <c r="F4" s="36" t="s">
        <v>31</v>
      </c>
      <c r="G4" s="36" t="s">
        <v>32</v>
      </c>
      <c r="H4" s="29" t="s">
        <v>33</v>
      </c>
      <c r="I4" s="37" t="s">
        <v>34</v>
      </c>
      <c r="J4" s="36" t="s">
        <v>35</v>
      </c>
      <c r="K4" s="28" t="s">
        <v>36</v>
      </c>
      <c r="L4" s="38" t="s">
        <v>37</v>
      </c>
      <c r="M4" s="35" t="s">
        <v>38</v>
      </c>
      <c r="N4" s="35" t="s">
        <v>39</v>
      </c>
    </row>
    <row r="5" spans="1:14" ht="33">
      <c r="A5" s="52" t="s">
        <v>63</v>
      </c>
      <c r="B5" s="66" t="s">
        <v>189</v>
      </c>
      <c r="C5" s="39" t="s">
        <v>190</v>
      </c>
      <c r="D5" s="39" t="s">
        <v>7</v>
      </c>
      <c r="E5" s="39" t="s">
        <v>13</v>
      </c>
      <c r="F5" s="42">
        <v>45632</v>
      </c>
      <c r="G5" s="42">
        <v>45639</v>
      </c>
      <c r="H5" s="44">
        <f>IF(COUNTA('Prot. TLD - Carmel'!$F5,'Prot. TLD - Carmel'!$G5)&lt;&gt;2,"",DAYS360('Prot. TLD - Carmel'!$F5,'Prot. TLD - Carmel'!$G5,FALSE))</f>
        <v>7</v>
      </c>
      <c r="I5" s="45">
        <v>45632</v>
      </c>
      <c r="J5" s="42">
        <v>45667</v>
      </c>
      <c r="K5" s="62">
        <f>IFERROR(IF(ControladorDeProjetos369[[#This Row],[Duração Real (em dias)]]=0,"",IF(ABS((ControladorDeProjetos369[[#This Row],[Duração Real (em dias)]]-ControladorDeProjetos369[[#This Row],[Duração Estimada (em dias)]])/ControladorDeProjetos369[[#This Row],[Duração Estimada (em dias)]])&gt;Sinalizador_Porcentagem,1,0)),"")</f>
        <v>1</v>
      </c>
      <c r="L5" s="46">
        <f>ControladorDeProjetos369[[#This Row],[Real
Término]]-ControladorDeProjetos369[[#This Row],[Real 
Início]]</f>
        <v>35</v>
      </c>
      <c r="M5" s="63"/>
      <c r="N5" s="39" t="s">
        <v>191</v>
      </c>
    </row>
    <row r="6" spans="1:14" ht="49.5">
      <c r="A6" s="52" t="s">
        <v>63</v>
      </c>
      <c r="B6" s="66" t="s">
        <v>192</v>
      </c>
      <c r="C6" s="39" t="s">
        <v>193</v>
      </c>
      <c r="D6" s="39" t="s">
        <v>7</v>
      </c>
      <c r="E6" s="39" t="s">
        <v>13</v>
      </c>
      <c r="F6" s="42">
        <v>45632</v>
      </c>
      <c r="G6" s="42">
        <v>45646</v>
      </c>
      <c r="H6" s="44">
        <f>IF(COUNTA('Prot. TLD - Carmel'!$F6,'Prot. TLD - Carmel'!$G6)&lt;&gt;2,"",DAYS360('Prot. TLD - Carmel'!$F6,'Prot. TLD - Carmel'!$G6,FALSE))</f>
        <v>14</v>
      </c>
      <c r="I6" s="45">
        <v>45632</v>
      </c>
      <c r="J6" s="42">
        <v>45667</v>
      </c>
      <c r="K6" s="62"/>
      <c r="L6" s="46">
        <f>ControladorDeProjetos369[[#This Row],[Real
Término]]-ControladorDeProjetos369[[#This Row],[Real 
Início]]</f>
        <v>35</v>
      </c>
      <c r="M6" s="63"/>
      <c r="N6" s="39" t="s">
        <v>191</v>
      </c>
    </row>
    <row r="7" spans="1:14" ht="33">
      <c r="A7" s="52" t="s">
        <v>40</v>
      </c>
      <c r="B7" s="39" t="s">
        <v>194</v>
      </c>
      <c r="C7" s="66" t="s">
        <v>195</v>
      </c>
      <c r="D7" s="39" t="s">
        <v>7</v>
      </c>
      <c r="E7" s="39" t="s">
        <v>13</v>
      </c>
      <c r="F7" s="42">
        <v>45671</v>
      </c>
      <c r="G7" s="42">
        <v>45678</v>
      </c>
      <c r="H7" s="44">
        <f>IF(COUNTA('Prot. TLD - Carmel'!$F7,'Prot. TLD - Carmel'!$G7)&lt;&gt;2,"",DAYS360('Prot. TLD - Carmel'!$F7,'Prot. TLD - Carmel'!$G7,FALSE))</f>
        <v>7</v>
      </c>
      <c r="I7" s="45">
        <v>45671</v>
      </c>
      <c r="J7" s="42">
        <v>45678</v>
      </c>
      <c r="K7" s="62"/>
      <c r="L7" s="46">
        <f>ControladorDeProjetos369[[#This Row],[Real
Término]]-ControladorDeProjetos369[[#This Row],[Real 
Início]]</f>
        <v>7</v>
      </c>
      <c r="M7" s="39"/>
      <c r="N7" s="39" t="s">
        <v>196</v>
      </c>
    </row>
    <row r="8" spans="1:14" ht="33">
      <c r="A8" s="52" t="s">
        <v>40</v>
      </c>
      <c r="B8" s="39" t="s">
        <v>197</v>
      </c>
      <c r="C8" s="39" t="s">
        <v>198</v>
      </c>
      <c r="D8" s="39" t="s">
        <v>7</v>
      </c>
      <c r="E8" s="39" t="s">
        <v>13</v>
      </c>
      <c r="F8" s="42">
        <v>45671</v>
      </c>
      <c r="G8" s="42">
        <v>45685</v>
      </c>
      <c r="H8" s="44">
        <f>IF(COUNTA('Prot. TLD - Carmel'!$F8,'Prot. TLD - Carmel'!$G8)&lt;&gt;2,"",DAYS360('Prot. TLD - Carmel'!$F8,'Prot. TLD - Carmel'!$G8,FALSE))</f>
        <v>14</v>
      </c>
      <c r="I8" s="45">
        <v>45671</v>
      </c>
      <c r="J8" s="42">
        <v>45678</v>
      </c>
      <c r="K8" s="62"/>
      <c r="L8" s="46">
        <f>ControladorDeProjetos369[[#This Row],[Real
Término]]-ControladorDeProjetos369[[#This Row],[Real 
Início]]</f>
        <v>7</v>
      </c>
      <c r="M8" s="39"/>
      <c r="N8" s="39" t="s">
        <v>196</v>
      </c>
    </row>
    <row r="9" spans="1:14" ht="33">
      <c r="A9" s="52" t="s">
        <v>40</v>
      </c>
      <c r="B9" s="39" t="s">
        <v>199</v>
      </c>
      <c r="C9" s="39" t="s">
        <v>200</v>
      </c>
      <c r="D9" s="39" t="s">
        <v>7</v>
      </c>
      <c r="E9" s="39" t="s">
        <v>13</v>
      </c>
      <c r="F9" s="42">
        <v>45671</v>
      </c>
      <c r="G9" s="42">
        <v>45678</v>
      </c>
      <c r="H9" s="44">
        <f>IF(COUNTA('Prot. TLD - Carmel'!$F9,'Prot. TLD - Carmel'!$G9)&lt;&gt;2,"",DAYS360('Prot. TLD - Carmel'!$F9,'Prot. TLD - Carmel'!$G9,FALSE))</f>
        <v>7</v>
      </c>
      <c r="I9" s="45">
        <v>45671</v>
      </c>
      <c r="J9" s="42">
        <v>45678</v>
      </c>
      <c r="K9" s="62"/>
      <c r="L9" s="46">
        <f>ControladorDeProjetos369[[#This Row],[Real
Término]]-ControladorDeProjetos369[[#This Row],[Real 
Início]]</f>
        <v>7</v>
      </c>
      <c r="M9" s="39"/>
      <c r="N9" s="39" t="s">
        <v>196</v>
      </c>
    </row>
    <row r="10" spans="1:14" ht="16.5">
      <c r="A10" s="52" t="s">
        <v>40</v>
      </c>
      <c r="B10" s="39" t="s">
        <v>201</v>
      </c>
      <c r="C10" s="39" t="s">
        <v>202</v>
      </c>
      <c r="D10" s="39" t="s">
        <v>18</v>
      </c>
      <c r="E10" s="39" t="s">
        <v>13</v>
      </c>
      <c r="F10" s="42">
        <v>45680</v>
      </c>
      <c r="G10" s="42">
        <v>45711</v>
      </c>
      <c r="H10" s="44">
        <f>IF(COUNTA('Prot. TLD - Carmel'!$F10,'Prot. TLD - Carmel'!$G10)&lt;&gt;2,"",DAYS360('Prot. TLD - Carmel'!$F10,'Prot. TLD - Carmel'!$G10,FALSE))</f>
        <v>30</v>
      </c>
      <c r="I10" s="45">
        <v>45680</v>
      </c>
      <c r="J10" s="42">
        <v>45685</v>
      </c>
      <c r="K10" s="62"/>
      <c r="L10" s="46">
        <f>ControladorDeProjetos369[[#This Row],[Real
Término]]-ControladorDeProjetos369[[#This Row],[Real 
Início]]</f>
        <v>5</v>
      </c>
      <c r="M10" s="39"/>
      <c r="N10" s="39" t="s">
        <v>196</v>
      </c>
    </row>
    <row r="11" spans="1:14" ht="33">
      <c r="A11" s="52" t="s">
        <v>40</v>
      </c>
      <c r="B11" s="71">
        <v>20258677359583</v>
      </c>
      <c r="C11" s="39" t="s">
        <v>203</v>
      </c>
      <c r="D11" s="39" t="s">
        <v>18</v>
      </c>
      <c r="E11" s="39" t="s">
        <v>148</v>
      </c>
      <c r="F11" s="42">
        <v>45715</v>
      </c>
      <c r="G11" s="42">
        <v>45747</v>
      </c>
      <c r="H11" s="44">
        <f>IF(COUNTA('Prot. TLD - Carmel'!$F11,'Prot. TLD - Carmel'!$G11)&lt;&gt;2,"",DAYS360('Prot. TLD - Carmel'!$F11,'Prot. TLD - Carmel'!$G11,FALSE))</f>
        <v>34</v>
      </c>
      <c r="I11" s="45">
        <v>45715</v>
      </c>
      <c r="J11" s="42">
        <v>45719</v>
      </c>
      <c r="K11" s="62">
        <f>IFERROR(IF(ControladorDeProjetos369[[#This Row],[Duração Real (em dias)]]=0,"",IF(ABS((ControladorDeProjetos369[[#This Row],[Duração Real (em dias)]]-ControladorDeProjetos369[[#This Row],[Duração Estimada (em dias)]])/ControladorDeProjetos369[[#This Row],[Duração Estimada (em dias)]])&gt;Sinalizador_Porcentagem,1,0)),"")</f>
        <v>1</v>
      </c>
      <c r="L11" s="46">
        <f>ControladorDeProjetos369[[#This Row],[Real
Término]]-ControladorDeProjetos369[[#This Row],[Real 
Início]]</f>
        <v>4</v>
      </c>
      <c r="M11" s="39"/>
      <c r="N11" s="39" t="s">
        <v>196</v>
      </c>
    </row>
    <row r="12" spans="1:14" ht="33">
      <c r="A12" s="52" t="s">
        <v>63</v>
      </c>
      <c r="B12" s="78" t="s">
        <v>204</v>
      </c>
      <c r="C12" s="78" t="s">
        <v>205</v>
      </c>
      <c r="D12" s="78" t="s">
        <v>4</v>
      </c>
      <c r="E12" s="78" t="s">
        <v>148</v>
      </c>
      <c r="F12" s="81">
        <v>45744</v>
      </c>
      <c r="G12" s="42">
        <f>ControladorDeProjetos369[[#This Row],[Estimado
Início]]+30</f>
        <v>45774</v>
      </c>
      <c r="H12" s="44">
        <f>IF(COUNTA('Prot. TLD - Carmel'!$F12,'Prot. TLD - Carmel'!$G12)&lt;&gt;2,"",DAYS360('Prot. TLD - Carmel'!$F12,'Prot. TLD - Carmel'!$G12,FALSE))</f>
        <v>29</v>
      </c>
      <c r="I12" s="45">
        <v>45747</v>
      </c>
      <c r="J12" s="42">
        <v>45761</v>
      </c>
      <c r="K12" s="62">
        <f>IFERROR(IF(ControladorDeProjetos369[[#This Row],[Duração Real (em dias)]]=0,"",IF(ABS((ControladorDeProjetos369[[#This Row],[Duração Real (em dias)]]-ControladorDeProjetos369[[#This Row],[Duração Estimada (em dias)]])/ControladorDeProjetos369[[#This Row],[Duração Estimada (em dias)]])&gt;Sinalizador_Porcentagem,1,0)),"")</f>
        <v>1</v>
      </c>
      <c r="L12" s="82">
        <f>ControladorDeProjetos369[[#This Row],[Real
Término]]-ControladorDeProjetos369[[#This Row],[Real 
Início]]</f>
        <v>14</v>
      </c>
      <c r="M12" s="39"/>
      <c r="N12" s="39" t="s">
        <v>196</v>
      </c>
    </row>
    <row r="13" spans="1:14" ht="33">
      <c r="A13" s="52" t="s">
        <v>40</v>
      </c>
      <c r="B13" s="40" t="s">
        <v>206</v>
      </c>
      <c r="C13" s="40" t="s">
        <v>207</v>
      </c>
      <c r="D13" s="40" t="s">
        <v>4</v>
      </c>
      <c r="E13" s="39" t="s">
        <v>97</v>
      </c>
      <c r="F13" s="43">
        <v>45763</v>
      </c>
      <c r="G13" s="43">
        <v>45793</v>
      </c>
      <c r="H13" s="44">
        <f>IF(COUNTA('Prot. TLD - Carmel'!$F13,'Prot. TLD - Carmel'!$G13)&lt;&gt;2,"",DAYS360('Prot. TLD - Carmel'!$F13,'Prot. TLD - Carmel'!$G13,FALSE))</f>
        <v>30</v>
      </c>
      <c r="I13" s="45">
        <v>45763</v>
      </c>
      <c r="J13" s="43">
        <v>46083</v>
      </c>
      <c r="K13" s="62">
        <f>IFERROR(IF(ControladorDeProjetos369[[#This Row],[Duração Real (em dias)]]=0,"",IF(ABS((ControladorDeProjetos369[[#This Row],[Duração Real (em dias)]]-ControladorDeProjetos369[[#This Row],[Duração Estimada (em dias)]])/ControladorDeProjetos369[[#This Row],[Duração Estimada (em dias)]])&gt;Sinalizador_Porcentagem,1,0)),"")</f>
        <v>1</v>
      </c>
      <c r="L13" s="82">
        <f>ControladorDeProjetos369[[#This Row],[Real
Término]]-ControladorDeProjetos369[[#This Row],[Real 
Início]]</f>
        <v>320</v>
      </c>
      <c r="M13" s="40"/>
      <c r="N13" s="40"/>
    </row>
    <row r="14" spans="1:14" ht="33">
      <c r="A14" s="52" t="s">
        <v>40</v>
      </c>
      <c r="B14" s="40" t="s">
        <v>208</v>
      </c>
      <c r="C14" s="40" t="s">
        <v>209</v>
      </c>
      <c r="D14" s="40" t="s">
        <v>4</v>
      </c>
      <c r="E14" s="39" t="s">
        <v>148</v>
      </c>
      <c r="F14" s="43">
        <v>45756</v>
      </c>
      <c r="G14" s="43">
        <f>ControladorDeProjetos369[[#This Row],[Estimado
Início]]+30</f>
        <v>45786</v>
      </c>
      <c r="H14" s="44">
        <f>IF(COUNTA('Prot. TLD - Carmel'!$F14,'Prot. TLD - Carmel'!$G14)&lt;&gt;2,"",DAYS360('Prot. TLD - Carmel'!$F14,'Prot. TLD - Carmel'!$G14,FALSE))</f>
        <v>30</v>
      </c>
      <c r="I14" s="45">
        <v>45756</v>
      </c>
      <c r="J14" s="43"/>
      <c r="K14" s="62">
        <f>IFERROR(IF(ControladorDeProjetos369[[#This Row],[Duração Real (em dias)]]=0,"",IF(ABS((ControladorDeProjetos369[[#This Row],[Duração Real (em dias)]]-ControladorDeProjetos369[[#This Row],[Duração Estimada (em dias)]])/ControladorDeProjetos369[[#This Row],[Duração Estimada (em dias)]])&gt;Sinalizador_Porcentagem,1,0)),"")</f>
        <v>1</v>
      </c>
      <c r="L14" s="82">
        <f>ControladorDeProjetos369[[#This Row],[Real
Término]]-ControladorDeProjetos369[[#This Row],[Real 
Início]]</f>
        <v>-45756</v>
      </c>
      <c r="M14" s="40"/>
      <c r="N14" s="40"/>
    </row>
    <row r="15" spans="1:14" ht="49.5">
      <c r="A15" s="52" t="s">
        <v>63</v>
      </c>
      <c r="B15" s="87">
        <v>345360</v>
      </c>
      <c r="C15" s="41" t="s">
        <v>210</v>
      </c>
      <c r="D15" s="41" t="s">
        <v>7</v>
      </c>
      <c r="E15" s="41" t="s">
        <v>148</v>
      </c>
      <c r="F15" s="43">
        <v>45828</v>
      </c>
      <c r="G15" s="43">
        <f>ControladorDeProjetos369[[#This Row],[Estimado
Início]]+30</f>
        <v>45858</v>
      </c>
      <c r="H15" s="44">
        <f>IF(COUNTA('Prot. TLD - Carmel'!$F15,'Prot. TLD - Carmel'!$G15)&lt;&gt;2,"",DAYS360('Prot. TLD - Carmel'!$F15,'Prot. TLD - Carmel'!$G15,FALSE))</f>
        <v>30</v>
      </c>
      <c r="I15" s="45">
        <v>45828</v>
      </c>
      <c r="J15" s="43">
        <v>45853</v>
      </c>
      <c r="K15" s="62">
        <f>IFERROR(IF(ControladorDeProjetos369[[#This Row],[Duração Real (em dias)]]=0,"",IF(ABS((ControladorDeProjetos369[[#This Row],[Duração Real (em dias)]]-ControladorDeProjetos369[[#This Row],[Duração Estimada (em dias)]])/ControladorDeProjetos369[[#This Row],[Duração Estimada (em dias)]])&gt;Sinalizador_Porcentagem,1,0)),"")</f>
        <v>1</v>
      </c>
      <c r="L15" s="82">
        <f>ControladorDeProjetos369[[#This Row],[Real
Término]]-ControladorDeProjetos369[[#This Row],[Real 
Início]]</f>
        <v>25</v>
      </c>
      <c r="M15" s="41"/>
      <c r="N15" s="41" t="s">
        <v>196</v>
      </c>
    </row>
    <row r="16" spans="1:14" ht="33">
      <c r="A16" s="52" t="s">
        <v>40</v>
      </c>
      <c r="B16" s="41" t="s">
        <v>211</v>
      </c>
      <c r="C16" s="41" t="s">
        <v>212</v>
      </c>
      <c r="D16" s="41" t="s">
        <v>4</v>
      </c>
      <c r="E16" s="40" t="s">
        <v>148</v>
      </c>
      <c r="F16" s="43">
        <v>45841</v>
      </c>
      <c r="G16" s="89">
        <v>45872</v>
      </c>
      <c r="H16" s="44">
        <f>IF(COUNTA('Prot. TLD - Carmel'!$F16,'Prot. TLD - Carmel'!$G16)&lt;&gt;2,"",DAYS360('Prot. TLD - Carmel'!$F16,'Prot. TLD - Carmel'!$G16,FALSE))</f>
        <v>30</v>
      </c>
      <c r="I16" s="45">
        <v>45750</v>
      </c>
      <c r="J16" s="43"/>
      <c r="K16" s="62">
        <f>IFERROR(IF(ControladorDeProjetos369[[#This Row],[Duração Real (em dias)]]=0,"",IF(ABS((ControladorDeProjetos369[[#This Row],[Duração Real (em dias)]]-ControladorDeProjetos369[[#This Row],[Duração Estimada (em dias)]])/ControladorDeProjetos369[[#This Row],[Duração Estimada (em dias)]])&gt;Sinalizador_Porcentagem,1,0)),"")</f>
        <v>1</v>
      </c>
      <c r="L16" s="47">
        <f>ControladorDeProjetos369[[#This Row],[Real
Término]]-ControladorDeProjetos369[[#This Row],[Real 
Início]]</f>
        <v>-45750</v>
      </c>
      <c r="M16" s="41"/>
      <c r="N16" s="41"/>
    </row>
    <row r="17" spans="1:14" ht="33">
      <c r="A17" s="52" t="s">
        <v>40</v>
      </c>
      <c r="B17" s="41" t="s">
        <v>213</v>
      </c>
      <c r="C17" s="41" t="s">
        <v>214</v>
      </c>
      <c r="D17" s="41" t="s">
        <v>4</v>
      </c>
      <c r="E17" s="40" t="s">
        <v>97</v>
      </c>
      <c r="F17" s="43">
        <v>45877</v>
      </c>
      <c r="G17" s="89">
        <v>45908</v>
      </c>
      <c r="H17" s="44">
        <f>IF(COUNTA('Prot. TLD - Carmel'!$F17,'Prot. TLD - Carmel'!$G17)&lt;&gt;2,"",DAYS360('Prot. TLD - Carmel'!$F17,'Prot. TLD - Carmel'!$G17,FALSE))</f>
        <v>30</v>
      </c>
      <c r="I17" s="45">
        <v>45877</v>
      </c>
      <c r="J17" s="43"/>
      <c r="K17" s="62">
        <f>IFERROR(IF(ControladorDeProjetos369[[#This Row],[Duração Real (em dias)]]=0,"",IF(ABS((ControladorDeProjetos369[[#This Row],[Duração Real (em dias)]]-ControladorDeProjetos369[[#This Row],[Duração Estimada (em dias)]])/ControladorDeProjetos369[[#This Row],[Duração Estimada (em dias)]])&gt;Sinalizador_Porcentagem,1,0)),"")</f>
        <v>1</v>
      </c>
      <c r="L17" s="47">
        <f>ControladorDeProjetos369[[#This Row],[Real
Término]]-ControladorDeProjetos369[[#This Row],[Real 
Início]]</f>
        <v>-45877</v>
      </c>
      <c r="M17" s="41"/>
      <c r="N17" s="41"/>
    </row>
    <row r="18" spans="1:14" ht="49.5">
      <c r="A18" s="52" t="s">
        <v>63</v>
      </c>
      <c r="B18" s="87">
        <v>347232</v>
      </c>
      <c r="C18" s="41" t="s">
        <v>210</v>
      </c>
      <c r="D18" s="41" t="s">
        <v>7</v>
      </c>
      <c r="E18" s="41" t="s">
        <v>97</v>
      </c>
      <c r="F18" s="43">
        <v>45828</v>
      </c>
      <c r="G18" s="43">
        <v>45898</v>
      </c>
      <c r="H18" s="44">
        <f>IF(COUNTA('Prot. TLD - Carmel'!$F18,'Prot. TLD - Carmel'!$G18)&lt;&gt;2,"",DAYS360('Prot. TLD - Carmel'!$F18,'Prot. TLD - Carmel'!$G18,FALSE))</f>
        <v>69</v>
      </c>
      <c r="I18" s="45">
        <v>45828</v>
      </c>
      <c r="J18" s="43"/>
      <c r="K18" s="62" t="str">
        <f>IFERROR(IF(ControladorDeProjetos369[[#This Row],[Duração Real (em dias)]]=0,"",IF(ABS((ControladorDeProjetos369[[#This Row],[Duração Real (em dias)]]-ControladorDeProjetos369[[#This Row],[Duração Estimada (em dias)]])/ControladorDeProjetos369[[#This Row],[Duração Estimada (em dias)]])&gt;Sinalizador_Porcentagem,1,0)),"")</f>
        <v/>
      </c>
      <c r="L18" s="82"/>
      <c r="M18" s="41"/>
      <c r="N18" s="41" t="s">
        <v>215</v>
      </c>
    </row>
    <row r="19" spans="1:14" ht="49.5">
      <c r="A19" s="99" t="s">
        <v>63</v>
      </c>
      <c r="B19" s="98">
        <v>348691</v>
      </c>
      <c r="C19" s="41" t="s">
        <v>210</v>
      </c>
      <c r="D19" s="41" t="s">
        <v>7</v>
      </c>
      <c r="E19" s="41" t="s">
        <v>97</v>
      </c>
      <c r="F19" s="34">
        <v>45929</v>
      </c>
      <c r="G19" s="100">
        <v>45943</v>
      </c>
      <c r="H19" s="44">
        <f>IF(COUNTA('Prot. TLD - Carmel'!$F19,'Prot. TLD - Carmel'!$G19)&lt;&gt;2,"",DAYS360('Prot. TLD - Carmel'!$F19,'Prot. TLD - Carmel'!$G19,FALSE))</f>
        <v>14</v>
      </c>
      <c r="I19" s="34">
        <v>45959</v>
      </c>
    </row>
    <row r="20" spans="1:14" ht="16.5">
      <c r="A20" s="52" t="s">
        <v>88</v>
      </c>
      <c r="B20" s="31" t="s">
        <v>216</v>
      </c>
      <c r="C20" s="41"/>
      <c r="D20" s="41" t="s">
        <v>15</v>
      </c>
      <c r="E20" s="40" t="s">
        <v>16</v>
      </c>
      <c r="F20" s="43">
        <v>46073</v>
      </c>
      <c r="G20" s="89">
        <v>46101</v>
      </c>
      <c r="H20" s="44">
        <f>IF(COUNTA('Prot. TLD - Carmel'!$F20,'Prot. TLD - Carmel'!$G20)&lt;&gt;2,"",DAYS360('Prot. TLD - Carmel'!$F20,'Prot. TLD - Carmel'!$G20,FALSE))</f>
        <v>30</v>
      </c>
      <c r="I20" s="45">
        <v>46073</v>
      </c>
      <c r="J20" s="43"/>
      <c r="K20" s="62" t="str">
        <f>IFERROR(IF(ControladorDeProjetos369[[#This Row],[Duração Real (em dias)]]=0,"",IF(ABS((ControladorDeProjetos369[[#This Row],[Duração Real (em dias)]]-ControladorDeProjetos369[[#This Row],[Duração Estimada (em dias)]])/ControladorDeProjetos369[[#This Row],[Duração Estimada (em dias)]])&gt;Sinalizador_Porcentagem,1,0)),"")</f>
        <v/>
      </c>
      <c r="L20" s="47"/>
      <c r="M20" s="41"/>
      <c r="N20" s="41"/>
    </row>
    <row r="21" spans="1:14" ht="33">
      <c r="A21" s="52" t="s">
        <v>88</v>
      </c>
      <c r="B21" s="124">
        <v>20264129470402</v>
      </c>
      <c r="C21" s="105" t="s">
        <v>217</v>
      </c>
      <c r="D21" s="41" t="s">
        <v>18</v>
      </c>
      <c r="E21" s="40" t="s">
        <v>16</v>
      </c>
      <c r="F21" s="43">
        <v>46136</v>
      </c>
      <c r="G21" s="89">
        <v>46166</v>
      </c>
      <c r="H21" s="44">
        <f>IF(COUNTA('Prot. TLD - Carmel'!$F21,'Prot. TLD - Carmel'!$G21)&lt;&gt;2,"",DAYS360('Prot. TLD - Carmel'!$F21,'Prot. TLD - Carmel'!$G21,FALSE))</f>
        <v>30</v>
      </c>
      <c r="I21" s="45">
        <v>46136</v>
      </c>
      <c r="J21" s="43"/>
      <c r="K21" s="62" t="str">
        <f>IFERROR(IF(ControladorDeProjetos369[[#This Row],[Duração Real (em dias)]]=0,"",IF(ABS((ControladorDeProjetos369[[#This Row],[Duração Real (em dias)]]-ControladorDeProjetos369[[#This Row],[Duração Estimada (em dias)]])/ControladorDeProjetos369[[#This Row],[Duração Estimada (em dias)]])&gt;Sinalizador_Porcentagem,1,0)),"")</f>
        <v/>
      </c>
      <c r="L21" s="47"/>
      <c r="M21" s="41"/>
      <c r="N21" s="41"/>
    </row>
    <row r="22" spans="1:14" ht="30" customHeight="1">
      <c r="B22" s="124"/>
    </row>
  </sheetData>
  <conditionalFormatting sqref="A5:A6">
    <cfRule type="containsText" dxfId="213" priority="42" operator="containsText" text="ANÁL">
      <formula>NOT(ISERROR(SEARCH("ANÁL",A5)))</formula>
    </cfRule>
    <cfRule type="containsText" dxfId="212" priority="43" operator="containsText" text="CANC">
      <formula>NOT(ISERROR(SEARCH("CANC",A5)))</formula>
    </cfRule>
    <cfRule type="containsText" dxfId="211" priority="44" operator="containsText" text="APRO">
      <formula>NOT(ISERROR(SEARCH("APRO",A5)))</formula>
    </cfRule>
    <cfRule type="containsText" dxfId="210" priority="45" operator="containsText" text="ANÁL">
      <formula>NOT(ISERROR(SEARCH("ANÁL",A5)))</formula>
    </cfRule>
    <cfRule type="containsText" dxfId="209" priority="46" operator="containsText" text="CANC.">
      <formula>NOT(ISERROR(SEARCH("CANC.",A5)))</formula>
    </cfRule>
    <cfRule type="containsText" dxfId="208" priority="47" operator="containsText" text="APRO.">
      <formula>NOT(ISERROR(SEARCH("APRO.",A5)))</formula>
    </cfRule>
  </conditionalFormatting>
  <conditionalFormatting sqref="A7:A21">
    <cfRule type="containsText" dxfId="207" priority="6" operator="containsText" text="ANÁLISE">
      <formula>NOT(ISERROR(SEARCH("ANÁLISE",A7)))</formula>
    </cfRule>
    <cfRule type="containsText" dxfId="206" priority="7" operator="containsText" text="ANÁL">
      <formula>NOT(ISERROR(SEARCH("ANÁL",A7)))</formula>
    </cfRule>
    <cfRule type="containsText" dxfId="205" priority="8" operator="containsText" text="CANC">
      <formula>NOT(ISERROR(SEARCH("CANC",A7)))</formula>
    </cfRule>
    <cfRule type="containsText" dxfId="204" priority="9" operator="containsText" text="APRO">
      <formula>NOT(ISERROR(SEARCH("APRO",A7)))</formula>
    </cfRule>
    <cfRule type="containsText" dxfId="203" priority="10" operator="containsText" text="ANÁL">
      <formula>NOT(ISERROR(SEARCH("ANÁL",A7)))</formula>
    </cfRule>
    <cfRule type="containsText" dxfId="202" priority="11" operator="containsText" text="CANC.">
      <formula>NOT(ISERROR(SEARCH("CANC.",A7)))</formula>
    </cfRule>
    <cfRule type="containsText" dxfId="201" priority="12" operator="containsText" text="APRO.">
      <formula>NOT(ISERROR(SEARCH("APRO.",A7)))</formula>
    </cfRule>
  </conditionalFormatting>
  <conditionalFormatting sqref="A5:N6 B7:N11 B12:B14 D12:N14 B15:N15">
    <cfRule type="containsText" dxfId="200" priority="41" operator="containsText" text="ANÁLISE">
      <formula>NOT(ISERROR(SEARCH("ANÁLISE",A5)))</formula>
    </cfRule>
  </conditionalFormatting>
  <conditionalFormatting sqref="B18:N18 H19">
    <cfRule type="containsText" dxfId="199" priority="5" operator="containsText" text="ANÁLISE">
      <formula>NOT(ISERROR(SEARCH("ANÁLISE",B18)))</formula>
    </cfRule>
  </conditionalFormatting>
  <conditionalFormatting sqref="C19:E19">
    <cfRule type="containsText" dxfId="198" priority="3" operator="containsText" text="ANÁLISE">
      <formula>NOT(ISERROR(SEARCH("ANÁLISE",C19)))</formula>
    </cfRule>
  </conditionalFormatting>
  <conditionalFormatting sqref="L5:L18">
    <cfRule type="expression" dxfId="197" priority="60">
      <formula>(ABS((L5-H5))/H5)&gt;Sinalizador_Porcentagem</formula>
    </cfRule>
  </conditionalFormatting>
  <conditionalFormatting sqref="L20:L21">
    <cfRule type="expression" dxfId="196" priority="1">
      <formula>(ABS((L20-H20))/H20)&gt;Sinalizador_Porcentagem</formula>
    </cfRule>
  </conditionalFormatting>
  <dataValidations count="15">
    <dataValidation allowBlank="1" showInputMessage="1" showErrorMessage="1" prompt="Insira anotações para os projetos nesta coluna" sqref="M4:N4" xr:uid="{00000000-0002-0000-0500-000000000000}"/>
    <dataValidation allowBlank="1" showInputMessage="1" showErrorMessage="1" prompt="Insira a duração real de projeto em dias. Valores que atendem aos critérios Acima/Abaixo são destacados em negrito vermelho e geram um ícone de sinalizador na coluna M à esquerda" sqref="L4" xr:uid="{00000000-0002-0000-0500-000001000000}"/>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00000000-0002-0000-0500-000002000000}"/>
    <dataValidation allowBlank="1" showInputMessage="1" showErrorMessage="1" prompt="Insira a data de término real do projeto nesta coluna" sqref="J4" xr:uid="{00000000-0002-0000-0500-000003000000}"/>
    <dataValidation allowBlank="1" showInputMessage="1" showErrorMessage="1" prompt="Insira a data de início real do projeto nesta coluna" sqref="I4" xr:uid="{00000000-0002-0000-0500-000004000000}"/>
    <dataValidation allowBlank="1" showInputMessage="1" showErrorMessage="1" prompt="Insira a duração estimada do projeto em dias nesta coluna" sqref="H4" xr:uid="{00000000-0002-0000-0500-000005000000}"/>
    <dataValidation allowBlank="1" showInputMessage="1" showErrorMessage="1" prompt="Insira a data de término estimada do projeto nesta coluna" sqref="G4" xr:uid="{00000000-0002-0000-0500-000006000000}"/>
    <dataValidation allowBlank="1" showInputMessage="1" showErrorMessage="1" prompt="Insira a data de início estimada do projeto nesta coluna" sqref="F4" xr:uid="{00000000-0002-0000-0500-000007000000}"/>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00000000-0002-0000-0500-000008000000}"/>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00000000-0002-0000-0500-000009000000}"/>
    <dataValidation allowBlank="1" showInputMessage="1" showErrorMessage="1" prompt="Insira os nomes de projetos nesta coluna" sqref="A4:C4" xr:uid="{00000000-0002-0000-0500-00000A000000}"/>
    <dataValidation allowBlank="1" showInputMessage="1" showErrorMessage="1" prompt="Porcentagem acima/abaixo personalizáveis usadas para realçar o trabalho real em horas e dias na tabela de projetos que excedam ou fiquem abaixo deste número" sqref="D2" xr:uid="{00000000-0002-0000-0500-00000B000000}"/>
    <dataValidation type="list" allowBlank="1" showInputMessage="1" showErrorMessage="1" error="Selecione um funcionário na lista ou crie um novo funcionário para exibir nesta lista da planilha Configuração." sqref="E5:E21" xr:uid="{00000000-0002-0000-0500-00000C000000}">
      <formula1>Funcionário_Lista</formula1>
    </dataValidation>
    <dataValidation type="list" allowBlank="1" showInputMessage="1" showErrorMessage="1" error="Selecione uma categoria na lista ou crie uma nova categoria para exibir nesta lista da planilha Configuração." sqref="D5:D21" xr:uid="{00000000-0002-0000-0500-00000D000000}">
      <formula1>Categoria_Lista</formula1>
    </dataValidation>
    <dataValidation type="list" allowBlank="1" showInputMessage="1" showErrorMessage="1" sqref="A5:A21" xr:uid="{00000000-0002-0000-0500-00000E000000}">
      <formula1>"APRO, ANÁL, CANC,"</formula1>
    </dataValidation>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76" id="{AC04DB37-FD10-485C-A1EB-E4FFDC5B5FA2}">
            <x14:iconSet custom="1">
              <x14:cfvo type="percent">
                <xm:f>0</xm:f>
              </x14:cfvo>
              <x14:cfvo type="num">
                <xm:f>0</xm:f>
              </x14:cfvo>
              <x14:cfvo type="num">
                <xm:f>1</xm:f>
              </x14:cfvo>
              <x14:cfIcon iconSet="NoIcons" iconId="0"/>
              <x14:cfIcon iconSet="NoIcons" iconId="0"/>
              <x14:cfIcon iconSet="3Flags" iconId="0"/>
            </x14:iconSet>
          </x14:cfRule>
          <xm:sqref>K5:K18</xm:sqref>
        </x14:conditionalFormatting>
        <x14:conditionalFormatting xmlns:xm="http://schemas.microsoft.com/office/excel/2006/main">
          <x14:cfRule type="iconSet" priority="2" id="{3E22FD57-F98D-423E-98FA-A8390A24EBFC}">
            <x14:iconSet custom="1">
              <x14:cfvo type="percent">
                <xm:f>0</xm:f>
              </x14:cfvo>
              <x14:cfvo type="num">
                <xm:f>0</xm:f>
              </x14:cfvo>
              <x14:cfvo type="num">
                <xm:f>1</xm:f>
              </x14:cfvo>
              <x14:cfIcon iconSet="NoIcons" iconId="0"/>
              <x14:cfIcon iconSet="NoIcons" iconId="0"/>
              <x14:cfIcon iconSet="3Flags" iconId="0"/>
            </x14:iconSet>
          </x14:cfRule>
          <xm:sqref>K20:K21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F05F-F098-42A2-8300-18AA15777E25}">
  <sheetPr>
    <tabColor theme="8"/>
    <pageSetUpPr autoPageBreaks="0" fitToPage="1"/>
  </sheetPr>
  <dimension ref="A1:N15"/>
  <sheetViews>
    <sheetView showGridLines="0" zoomScale="110" zoomScaleNormal="110" workbookViewId="0">
      <pane ySplit="4" topLeftCell="A5" activePane="bottomLeft" state="frozen"/>
      <selection pane="bottomLeft" activeCell="K4" sqref="K4"/>
    </sheetView>
  </sheetViews>
  <sheetFormatPr defaultColWidth="9" defaultRowHeight="30" customHeight="1"/>
  <cols>
    <col min="1" max="1" width="23.5" style="31" customWidth="1"/>
    <col min="2" max="2" width="23.75" style="107" customWidth="1"/>
    <col min="3" max="3" width="20.625" customWidth="1"/>
    <col min="4" max="4" width="16.625" customWidth="1"/>
    <col min="5" max="5" width="13.75" style="1" customWidth="1"/>
    <col min="6" max="6" width="14.375" style="1" customWidth="1"/>
    <col min="7" max="7" width="16.375" customWidth="1"/>
    <col min="8" max="8" width="23.125" style="34" customWidth="1"/>
    <col min="9" max="9" width="14.875" style="1" customWidth="1"/>
    <col min="10" max="10" width="14.625" style="1" customWidth="1"/>
    <col min="11" max="11" width="13.625" customWidth="1"/>
    <col min="12" max="12" width="28.25" customWidth="1"/>
    <col min="13" max="13" width="24" customWidth="1"/>
    <col min="14" max="14" width="25.625" customWidth="1"/>
    <col min="15" max="15" width="2.625" customWidth="1"/>
  </cols>
  <sheetData>
    <row r="1" spans="1:14" ht="65.099999999999994" customHeight="1">
      <c r="A1" s="131" t="s">
        <v>218</v>
      </c>
      <c r="B1" s="131"/>
      <c r="C1" s="131"/>
      <c r="D1" s="131"/>
      <c r="E1" s="131"/>
      <c r="F1" s="131"/>
      <c r="G1" s="1" t="s">
        <v>219</v>
      </c>
      <c r="H1" s="34" t="s">
        <v>220</v>
      </c>
      <c r="I1" s="130"/>
      <c r="J1" s="130"/>
      <c r="K1" s="130"/>
      <c r="L1" s="130"/>
      <c r="M1" s="130"/>
      <c r="N1" s="130"/>
    </row>
    <row r="2" spans="1:14" ht="20.25" customHeight="1">
      <c r="A2" s="48"/>
      <c r="B2" s="106"/>
      <c r="C2" s="3" t="s">
        <v>26</v>
      </c>
      <c r="D2" s="20"/>
      <c r="H2" s="92"/>
      <c r="I2" s="130"/>
      <c r="J2" s="130"/>
      <c r="K2" s="130"/>
      <c r="L2" s="130"/>
      <c r="M2" s="130"/>
      <c r="N2" s="130"/>
    </row>
    <row r="3" spans="1:14" ht="20.25" customHeight="1">
      <c r="I3" s="130"/>
      <c r="J3" s="130"/>
      <c r="K3" s="130"/>
      <c r="L3" s="130"/>
      <c r="M3" s="130"/>
      <c r="N3" s="130"/>
    </row>
    <row r="4" spans="1:14" ht="54.95" customHeight="1">
      <c r="A4" s="35" t="s">
        <v>126</v>
      </c>
      <c r="B4" s="108" t="s">
        <v>221</v>
      </c>
      <c r="C4" s="15" t="s">
        <v>29</v>
      </c>
      <c r="D4" s="15" t="s">
        <v>1</v>
      </c>
      <c r="E4" s="15" t="s">
        <v>30</v>
      </c>
      <c r="F4" s="16" t="s">
        <v>31</v>
      </c>
      <c r="G4" s="16" t="s">
        <v>32</v>
      </c>
      <c r="H4" s="29" t="s">
        <v>33</v>
      </c>
      <c r="I4" s="18" t="s">
        <v>34</v>
      </c>
      <c r="J4" s="16" t="s">
        <v>35</v>
      </c>
      <c r="K4" s="23" t="s">
        <v>36</v>
      </c>
      <c r="L4" s="19" t="s">
        <v>37</v>
      </c>
      <c r="M4" s="15" t="s">
        <v>38</v>
      </c>
      <c r="N4" s="15" t="s">
        <v>39</v>
      </c>
    </row>
    <row r="5" spans="1:14" ht="33">
      <c r="A5" s="52" t="s">
        <v>40</v>
      </c>
      <c r="B5" s="109">
        <v>20262763132062</v>
      </c>
      <c r="C5" s="102" t="s">
        <v>222</v>
      </c>
      <c r="D5" s="101" t="s">
        <v>18</v>
      </c>
      <c r="E5" s="6" t="s">
        <v>10</v>
      </c>
      <c r="F5" s="7">
        <v>46027</v>
      </c>
      <c r="G5" s="7">
        <v>46034</v>
      </c>
      <c r="H5" s="44">
        <f>ControladorDeProjetos3673111213151617[[#This Row],[Estimado 
Término]]-ControladorDeProjetos3673111213151617[[#This Row],[Estimado
Início]]</f>
        <v>7</v>
      </c>
      <c r="I5" s="8"/>
      <c r="J5" s="7"/>
      <c r="K5" s="14"/>
      <c r="L5" s="9"/>
      <c r="M5" s="6"/>
      <c r="N5" s="6"/>
    </row>
    <row r="6" spans="1:14" ht="16.5">
      <c r="A6" s="52"/>
      <c r="B6" s="109"/>
      <c r="C6" s="102"/>
      <c r="D6" s="101"/>
      <c r="E6" s="6"/>
      <c r="F6" s="7"/>
      <c r="G6" s="7"/>
      <c r="H6" s="44"/>
      <c r="I6" s="8"/>
      <c r="J6" s="7"/>
      <c r="K6" s="14"/>
      <c r="L6" s="9"/>
      <c r="M6" s="6"/>
      <c r="N6" s="6"/>
    </row>
    <row r="7" spans="1:14" ht="16.5">
      <c r="A7" s="52"/>
      <c r="B7" s="109"/>
      <c r="C7" s="6"/>
      <c r="D7" s="6"/>
      <c r="E7" s="6"/>
      <c r="F7" s="7"/>
      <c r="G7" s="7"/>
      <c r="H7" s="44"/>
      <c r="I7" s="8"/>
      <c r="J7" s="7"/>
      <c r="K7" s="14"/>
      <c r="L7" s="9"/>
      <c r="M7" s="6"/>
      <c r="N7" s="6"/>
    </row>
    <row r="8" spans="1:14" ht="16.5">
      <c r="A8" s="39"/>
      <c r="B8" s="109"/>
      <c r="C8" s="6"/>
      <c r="D8" s="6"/>
      <c r="E8" s="6"/>
      <c r="F8" s="7"/>
      <c r="G8" s="7"/>
      <c r="H8" s="44" t="str">
        <f>IF(COUNTA('Prot. CVEL - Altona'!$F8,'Prot. CVEL - Altona'!$G8)&lt;&gt;2,"",DAYS360('Prot. CVEL - Altona'!$F8,'Prot. CVEL - Altona'!$G8,FALSE))</f>
        <v/>
      </c>
      <c r="I8" s="8"/>
      <c r="J8" s="7"/>
      <c r="K8" s="14" t="str">
        <f>IFERROR(IF(ControladorDeProjetos3673111213151617[[#This Row],[Duração Real (em dias)]]=0,"",IF(ABS((ControladorDeProjetos3673111213151617[[#This Row],[Duração Real (em dias)]]-ControladorDeProjetos3673111213151617[[#This Row],[Duração Estimada (em dias)]])/ControladorDeProjetos3673111213151617[[#This Row],[Duração Estimada (em dias)]])&gt;Sinalizador_Porcentagem,1,0)),"")</f>
        <v/>
      </c>
      <c r="L8" s="9" t="str">
        <f>IF(COUNTA('Prot. CVEL - Altona'!$I8,'Prot. CVEL - Altona'!$J8)&lt;&gt;2,"",DAYS360('Prot. CVEL - Altona'!$I8,'Prot. CVEL - Altona'!$J8,FALSE))</f>
        <v/>
      </c>
      <c r="M8" s="6"/>
      <c r="N8" s="6"/>
    </row>
    <row r="9" spans="1:14" ht="16.5">
      <c r="A9" s="39"/>
      <c r="C9" s="6"/>
      <c r="D9" s="6"/>
      <c r="E9" s="6"/>
      <c r="F9" s="7"/>
      <c r="G9" s="7"/>
      <c r="H9" s="44" t="str">
        <f>IF(COUNTA('Prot. CVEL - Altona'!$F9,'Prot. CVEL - Altona'!$G9)&lt;&gt;2,"",DAYS360('Prot. CVEL - Altona'!$F9,'Prot. CVEL - Altona'!$G9,FALSE))</f>
        <v/>
      </c>
      <c r="I9" s="8"/>
      <c r="J9" s="7"/>
      <c r="K9" s="14" t="str">
        <f>IFERROR(IF(ControladorDeProjetos3673111213151617[[#This Row],[Duração Real (em dias)]]=0,"",IF(ABS((ControladorDeProjetos3673111213151617[[#This Row],[Duração Real (em dias)]]-ControladorDeProjetos3673111213151617[[#This Row],[Duração Estimada (em dias)]])/ControladorDeProjetos3673111213151617[[#This Row],[Duração Estimada (em dias)]])&gt;Sinalizador_Porcentagem,1,0)),"")</f>
        <v/>
      </c>
      <c r="L9" s="9" t="str">
        <f>IF(COUNTA('Prot. CVEL - Altona'!$I9,'Prot. CVEL - Altona'!$J9)&lt;&gt;2,"",DAYS360('Prot. CVEL - Altona'!$I9,'Prot. CVEL - Altona'!$J9,FALSE))</f>
        <v/>
      </c>
      <c r="M9" s="6"/>
      <c r="N9" s="6"/>
    </row>
    <row r="10" spans="1:14" ht="16.5">
      <c r="A10" s="39"/>
      <c r="B10" s="109"/>
      <c r="C10" s="6"/>
      <c r="D10" s="6"/>
      <c r="E10" s="67"/>
      <c r="F10" s="7"/>
      <c r="G10" s="7"/>
      <c r="H10" s="44" t="str">
        <f>IF(COUNTA('Prot. CVEL - Altona'!$F10,'Prot. CVEL - Altona'!$G10)&lt;&gt;2,"",DAYS360('Prot. CVEL - Altona'!$F10,'Prot. CVEL - Altona'!$G10,FALSE))</f>
        <v/>
      </c>
      <c r="I10" s="8"/>
      <c r="J10" s="7"/>
      <c r="K10" s="14" t="str">
        <f>IFERROR(IF(ControladorDeProjetos3673111213151617[[#This Row],[Duração Real (em dias)]]=0,"",IF(ABS((ControladorDeProjetos3673111213151617[[#This Row],[Duração Real (em dias)]]-ControladorDeProjetos3673111213151617[[#This Row],[Duração Estimada (em dias)]])/ControladorDeProjetos3673111213151617[[#This Row],[Duração Estimada (em dias)]])&gt;Sinalizador_Porcentagem,1,0)),"")</f>
        <v/>
      </c>
      <c r="L10" s="9" t="str">
        <f>IF(COUNTA('Prot. CVEL - Altona'!$I10,'Prot. CVEL - Altona'!$J10)&lt;&gt;2,"",DAYS360('Prot. CVEL - Altona'!$I10,'Prot. CVEL - Altona'!$J10,FALSE))</f>
        <v/>
      </c>
      <c r="M10" s="6"/>
      <c r="N10" s="6"/>
    </row>
    <row r="11" spans="1:14" ht="16.5">
      <c r="A11" s="39"/>
      <c r="B11" s="109"/>
      <c r="C11" s="6"/>
      <c r="D11" s="6"/>
      <c r="E11" s="68"/>
      <c r="F11" s="7"/>
      <c r="G11" s="7"/>
      <c r="H11" s="44" t="str">
        <f>IF(COUNTA('Prot. CVEL - Altona'!$F11,'Prot. CVEL - Altona'!$G11)&lt;&gt;2,"",DAYS360('Prot. CVEL - Altona'!$F11,'Prot. CVEL - Altona'!$G11,FALSE))</f>
        <v/>
      </c>
      <c r="I11" s="8"/>
      <c r="J11" s="7"/>
      <c r="K11" s="14" t="str">
        <f>IFERROR(IF(ControladorDeProjetos3673111213151617[[#This Row],[Duração Real (em dias)]]=0,"",IF(ABS((ControladorDeProjetos3673111213151617[[#This Row],[Duração Real (em dias)]]-ControladorDeProjetos3673111213151617[[#This Row],[Duração Estimada (em dias)]])/ControladorDeProjetos3673111213151617[[#This Row],[Duração Estimada (em dias)]])&gt;Sinalizador_Porcentagem,1,0)),"")</f>
        <v/>
      </c>
      <c r="L11" s="9" t="str">
        <f>IF(COUNTA('Prot. CVEL - Altona'!$I11,'Prot. CVEL - Altona'!$J11)&lt;&gt;2,"",DAYS360('Prot. CVEL - Altona'!$I11,'Prot. CVEL - Altona'!$J11,FALSE))</f>
        <v/>
      </c>
      <c r="M11" s="26"/>
      <c r="N11" s="6"/>
    </row>
    <row r="12" spans="1:14" ht="16.5">
      <c r="A12" s="39"/>
      <c r="B12" s="109"/>
      <c r="C12" s="6"/>
      <c r="D12" s="6"/>
      <c r="E12" s="6"/>
      <c r="F12" s="7"/>
      <c r="G12" s="7"/>
      <c r="H12" s="44" t="str">
        <f>IF(COUNTA('Prot. CVEL - Altona'!$F12,'Prot. CVEL - Altona'!$G12)&lt;&gt;2,"",DAYS360('Prot. CVEL - Altona'!$F12,'Prot. CVEL - Altona'!$G12,FALSE))</f>
        <v/>
      </c>
      <c r="I12" s="8"/>
      <c r="J12" s="7"/>
      <c r="K12" s="14" t="str">
        <f>IFERROR(IF(ControladorDeProjetos3673111213151617[[#This Row],[Duração Real (em dias)]]=0,"",IF(ABS((ControladorDeProjetos3673111213151617[[#This Row],[Duração Real (em dias)]]-ControladorDeProjetos3673111213151617[[#This Row],[Duração Estimada (em dias)]])/ControladorDeProjetos3673111213151617[[#This Row],[Duração Estimada (em dias)]])&gt;Sinalizador_Porcentagem,1,0)),"")</f>
        <v/>
      </c>
      <c r="L12" s="9" t="str">
        <f>IF(COUNTA('Prot. CVEL - Altona'!$I12,'Prot. CVEL - Altona'!$J12)&lt;&gt;2,"",DAYS360('Prot. CVEL - Altona'!$I12,'Prot. CVEL - Altona'!$J12,FALSE))</f>
        <v/>
      </c>
      <c r="M12" s="6"/>
      <c r="N12" s="6"/>
    </row>
    <row r="13" spans="1:14" ht="16.5">
      <c r="A13" s="40"/>
      <c r="B13" s="110"/>
      <c r="C13" s="10"/>
      <c r="D13" s="10"/>
      <c r="E13" s="6"/>
      <c r="F13" s="11"/>
      <c r="G13" s="11"/>
      <c r="H13" s="44" t="str">
        <f>IF(COUNTA('Prot. CVEL - Altona'!$F13,'Prot. CVEL - Altona'!$G13)&lt;&gt;2,"",DAYS360('Prot. CVEL - Altona'!$F13,'Prot. CVEL - Altona'!$G13,FALSE))</f>
        <v/>
      </c>
      <c r="I13" s="8"/>
      <c r="J13" s="11"/>
      <c r="K13" s="14" t="str">
        <f>IFERROR(IF(ControladorDeProjetos3673111213151617[[#This Row],[Duração Real (em dias)]]=0,"",IF(ABS((ControladorDeProjetos3673111213151617[[#This Row],[Duração Real (em dias)]]-ControladorDeProjetos3673111213151617[[#This Row],[Duração Estimada (em dias)]])/ControladorDeProjetos3673111213151617[[#This Row],[Duração Estimada (em dias)]])&gt;Sinalizador_Porcentagem,1,0)),"")</f>
        <v/>
      </c>
      <c r="L13" s="12" t="str">
        <f>IF(COUNTA('Prot. CVEL - Altona'!$I13,'Prot. CVEL - Altona'!$J13)&lt;&gt;2,"",DAYS360('Prot. CVEL - Altona'!$I13,'Prot. CVEL - Altona'!$J13,FALSE))</f>
        <v/>
      </c>
      <c r="M13" s="10"/>
      <c r="N13" s="10"/>
    </row>
    <row r="14" spans="1:14" ht="16.5">
      <c r="A14" s="40"/>
      <c r="B14" s="110"/>
      <c r="C14" s="10"/>
      <c r="D14" s="10"/>
      <c r="E14" s="6"/>
      <c r="F14" s="11"/>
      <c r="G14" s="11"/>
      <c r="H14" s="44" t="str">
        <f>IF(COUNTA('Prot. CVEL - Altona'!$F14,'Prot. CVEL - Altona'!$G14)&lt;&gt;2,"",DAYS360('Prot. CVEL - Altona'!$F14,'Prot. CVEL - Altona'!$G14,FALSE))</f>
        <v/>
      </c>
      <c r="I14" s="8"/>
      <c r="J14" s="11"/>
      <c r="K14" s="14" t="str">
        <f>IFERROR(IF(ControladorDeProjetos3673111213151617[[#This Row],[Duração Real (em dias)]]=0,"",IF(ABS((ControladorDeProjetos3673111213151617[[#This Row],[Duração Real (em dias)]]-ControladorDeProjetos3673111213151617[[#This Row],[Duração Estimada (em dias)]])/ControladorDeProjetos3673111213151617[[#This Row],[Duração Estimada (em dias)]])&gt;Sinalizador_Porcentagem,1,0)),"")</f>
        <v/>
      </c>
      <c r="L14" s="12" t="str">
        <f>IF(COUNTA('Prot. CVEL - Altona'!$I14,'Prot. CVEL - Altona'!$J14)&lt;&gt;2,"",DAYS360('Prot. CVEL - Altona'!$I14,'Prot. CVEL - Altona'!$J14,FALSE))</f>
        <v/>
      </c>
      <c r="M14" s="10"/>
      <c r="N14" s="10"/>
    </row>
    <row r="15" spans="1:14" ht="16.5">
      <c r="A15" s="41"/>
      <c r="B15" s="86"/>
      <c r="C15" s="5"/>
      <c r="D15" s="5"/>
      <c r="E15" s="5"/>
      <c r="F15" s="11"/>
      <c r="G15" s="11"/>
      <c r="H15" s="44" t="str">
        <f>IF(COUNTA('Prot. CVEL - Altona'!$F15,'Prot. CVEL - Altona'!$G15)&lt;&gt;2,"",DAYS360('Prot. CVEL - Altona'!$F15,'Prot. CVEL - Altona'!$G15,FALSE))</f>
        <v/>
      </c>
      <c r="I15" s="8"/>
      <c r="J15" s="11"/>
      <c r="K15" s="14" t="str">
        <f>IFERROR(IF(ControladorDeProjetos3673111213151617[[#This Row],[Duração Real (em dias)]]=0,"",IF(ABS((ControladorDeProjetos3673111213151617[[#This Row],[Duração Real (em dias)]]-ControladorDeProjetos3673111213151617[[#This Row],[Duração Estimada (em dias)]])/ControladorDeProjetos3673111213151617[[#This Row],[Duração Estimada (em dias)]])&gt;Sinalizador_Porcentagem,1,0)),"")</f>
        <v/>
      </c>
      <c r="L15" s="12" t="str">
        <f>IF(COUNTA('Prot. CVEL - Altona'!$I15,'Prot. CVEL - Altona'!$J15)&lt;&gt;2,"",DAYS360('Prot. CVEL - Altona'!$I15,'Prot. CVEL - Altona'!$J15,FALSE))</f>
        <v/>
      </c>
      <c r="M15" s="5"/>
      <c r="N15" s="5"/>
    </row>
  </sheetData>
  <mergeCells count="2">
    <mergeCell ref="A1:F1"/>
    <mergeCell ref="I1:N3"/>
  </mergeCells>
  <conditionalFormatting sqref="A5:A7">
    <cfRule type="containsText" dxfId="179" priority="1" operator="containsText" text="ANÁLISE">
      <formula>NOT(ISERROR(SEARCH("ANÁLISE",A5)))</formula>
    </cfRule>
    <cfRule type="containsText" dxfId="178" priority="2" operator="containsText" text="ANÁL">
      <formula>NOT(ISERROR(SEARCH("ANÁL",A5)))</formula>
    </cfRule>
    <cfRule type="containsText" dxfId="177" priority="3" operator="containsText" text="CANC">
      <formula>NOT(ISERROR(SEARCH("CANC",A5)))</formula>
    </cfRule>
    <cfRule type="containsText" dxfId="176" priority="4" operator="containsText" text="APRO">
      <formula>NOT(ISERROR(SEARCH("APRO",A5)))</formula>
    </cfRule>
    <cfRule type="containsText" dxfId="175" priority="5" operator="containsText" text="ANÁL">
      <formula>NOT(ISERROR(SEARCH("ANÁL",A5)))</formula>
    </cfRule>
    <cfRule type="containsText" dxfId="174" priority="6" operator="containsText" text="CANC.">
      <formula>NOT(ISERROR(SEARCH("CANC.",A5)))</formula>
    </cfRule>
    <cfRule type="containsText" dxfId="173" priority="7" operator="containsText" text="APRO.">
      <formula>NOT(ISERROR(SEARCH("APRO.",A5)))</formula>
    </cfRule>
  </conditionalFormatting>
  <conditionalFormatting sqref="L5:L15">
    <cfRule type="expression" dxfId="172" priority="8">
      <formula>(ABS((L5-H5))/H5)&gt;Sinalizador_Porcentagem</formula>
    </cfRule>
  </conditionalFormatting>
  <dataValidations count="15">
    <dataValidation type="list" allowBlank="1" showInputMessage="1" showErrorMessage="1" sqref="A5:A7" xr:uid="{72D3356B-F309-461E-ADD1-B2DE049EF5C6}">
      <formula1>"APRO, ANÁL, CANC,"</formula1>
    </dataValidation>
    <dataValidation allowBlank="1" showInputMessage="1" showErrorMessage="1" prompt="Porcentagem acima/abaixo personalizáveis usadas para realçar o trabalho real em horas e dias na tabela de projetos que excedam ou fiquem abaixo deste número" sqref="D2" xr:uid="{E226BAB0-F16F-47ED-8035-D47E6A881A2C}"/>
    <dataValidation type="list" allowBlank="1" showInputMessage="1" showErrorMessage="1" error="Selecione uma categoria na lista ou crie uma nova categoria para exibir nesta lista da planilha Configuração." sqref="D5:D15" xr:uid="{178C02CA-60C2-4CFC-A5F3-53A93064C7B8}">
      <formula1>Categoria_Lista</formula1>
    </dataValidation>
    <dataValidation type="list" allowBlank="1" showInputMessage="1" showErrorMessage="1" error="Selecione um funcionário na lista ou crie um novo funcionário para exibir nesta lista da planilha Configuração." sqref="E5:E15" xr:uid="{BB1854BA-5B0F-40BE-9991-27C793278A93}">
      <formula1>Funcionário_Lista</formula1>
    </dataValidation>
    <dataValidation allowBlank="1" showInputMessage="1" showErrorMessage="1" prompt="Insira os nomes de projetos nesta coluna" sqref="A4:C4" xr:uid="{AD225646-9256-4E5A-A87C-08E4B021C6DF}"/>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FA9D4618-AAB3-46C8-B4C2-4A4F381CDBCF}"/>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CB5BAB87-A5BC-49EE-9586-2AAC2F3CED25}"/>
    <dataValidation allowBlank="1" showInputMessage="1" showErrorMessage="1" prompt="Insira a data de início estimada do projeto nesta coluna" sqref="F4" xr:uid="{5101ED29-07CE-47C3-9623-CA6EB217B21E}"/>
    <dataValidation allowBlank="1" showInputMessage="1" showErrorMessage="1" prompt="Insira a data de término estimada do projeto nesta coluna" sqref="G4" xr:uid="{515948F8-FD07-48A5-9C8F-C2108667F2FB}"/>
    <dataValidation allowBlank="1" showInputMessage="1" showErrorMessage="1" prompt="Insira a duração estimada do projeto em dias nesta coluna" sqref="H4" xr:uid="{B3D2073F-613B-4AD6-B552-2FB18739EE5F}"/>
    <dataValidation allowBlank="1" showInputMessage="1" showErrorMessage="1" prompt="Insira a data de início real do projeto nesta coluna" sqref="I4" xr:uid="{5B9A3542-40B1-49F2-86EA-61E6E1F40B9C}"/>
    <dataValidation allowBlank="1" showInputMessage="1" showErrorMessage="1" prompt="Insira a data de término real do projeto nesta coluna" sqref="J4" xr:uid="{D95C04E8-4FF6-4F57-A856-873489909090}"/>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599E46ED-318D-42BA-B9F0-AF527D53C856}"/>
    <dataValidation allowBlank="1" showInputMessage="1" showErrorMessage="1" prompt="Insira a duração real de projeto em dias. Valores que atendem aos critérios Acima/Abaixo são destacados em negrito vermelho e geram um ícone de sinalizador na coluna M à esquerda" sqref="L4" xr:uid="{9224A773-B8F8-4B0F-BE60-9B93BA034F23}"/>
    <dataValidation allowBlank="1" showInputMessage="1" showErrorMessage="1" prompt="Insira anotações para os projetos nesta coluna" sqref="M4:N4" xr:uid="{D9D8A1AC-4966-4F88-8FC8-72382298EC15}"/>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9CBBF9C4-B151-445F-828A-D65D27EDA799}">
            <x14:iconSet custom="1">
              <x14:cfvo type="percent">
                <xm:f>0</xm:f>
              </x14:cfvo>
              <x14:cfvo type="num">
                <xm:f>0</xm:f>
              </x14:cfvo>
              <x14:cfvo type="num">
                <xm:f>1</xm:f>
              </x14:cfvo>
              <x14:cfIcon iconSet="NoIcons" iconId="0"/>
              <x14:cfIcon iconSet="NoIcons" iconId="0"/>
              <x14:cfIcon iconSet="3Flags" iconId="0"/>
            </x14:iconSet>
          </x14:cfRule>
          <xm:sqref>K5:K15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5C73E-1246-4E68-A056-04A849DEF862}">
  <sheetPr>
    <tabColor theme="8"/>
    <pageSetUpPr autoPageBreaks="0" fitToPage="1"/>
  </sheetPr>
  <dimension ref="A1:N15"/>
  <sheetViews>
    <sheetView showGridLines="0" zoomScale="110" zoomScaleNormal="110" workbookViewId="0">
      <pane ySplit="4" topLeftCell="A5" activePane="bottomLeft" state="frozen"/>
      <selection pane="bottomLeft" activeCell="B5" sqref="B5"/>
    </sheetView>
  </sheetViews>
  <sheetFormatPr defaultColWidth="9" defaultRowHeight="30" customHeight="1"/>
  <cols>
    <col min="1" max="1" width="23.5" style="31" customWidth="1"/>
    <col min="2" max="2" width="23.75" style="107" customWidth="1"/>
    <col min="3" max="3" width="20.625" customWidth="1"/>
    <col min="4" max="4" width="16.625" customWidth="1"/>
    <col min="5" max="5" width="13.75" style="1" customWidth="1"/>
    <col min="6" max="6" width="14.375" style="1" customWidth="1"/>
    <col min="7" max="7" width="16.375" customWidth="1"/>
    <col min="8" max="8" width="23.125" style="34" customWidth="1"/>
    <col min="9" max="9" width="14.875" style="1" customWidth="1"/>
    <col min="10" max="10" width="14.625" style="1" customWidth="1"/>
    <col min="11" max="11" width="13.625" customWidth="1"/>
    <col min="12" max="12" width="28.25" customWidth="1"/>
    <col min="13" max="13" width="24" customWidth="1"/>
    <col min="14" max="14" width="25.625" customWidth="1"/>
    <col min="15" max="15" width="2.625" customWidth="1"/>
  </cols>
  <sheetData>
    <row r="1" spans="1:14" ht="65.099999999999994" customHeight="1">
      <c r="A1" s="131" t="s">
        <v>223</v>
      </c>
      <c r="B1" s="131"/>
      <c r="C1" s="131"/>
      <c r="D1" s="131"/>
      <c r="E1" s="131"/>
      <c r="F1" s="131"/>
      <c r="G1" s="1"/>
      <c r="I1" s="130"/>
      <c r="J1" s="130"/>
      <c r="K1" s="130"/>
      <c r="L1" s="130"/>
      <c r="M1" s="130"/>
      <c r="N1" s="130"/>
    </row>
    <row r="2" spans="1:14" ht="20.25" customHeight="1">
      <c r="A2" s="48"/>
      <c r="B2" s="106"/>
      <c r="C2" s="3" t="s">
        <v>26</v>
      </c>
      <c r="D2" s="20"/>
      <c r="H2" s="34" t="s">
        <v>220</v>
      </c>
      <c r="I2" s="130"/>
      <c r="J2" s="130"/>
      <c r="K2" s="130"/>
      <c r="L2" s="130"/>
      <c r="M2" s="130"/>
      <c r="N2" s="130"/>
    </row>
    <row r="3" spans="1:14" ht="20.25" customHeight="1">
      <c r="I3" s="130"/>
      <c r="J3" s="130"/>
      <c r="K3" s="130"/>
      <c r="L3" s="130"/>
      <c r="M3" s="130"/>
      <c r="N3" s="130"/>
    </row>
    <row r="4" spans="1:14" ht="54.95" customHeight="1">
      <c r="A4" s="35" t="s">
        <v>126</v>
      </c>
      <c r="B4" s="108" t="s">
        <v>221</v>
      </c>
      <c r="C4" s="15" t="s">
        <v>29</v>
      </c>
      <c r="D4" s="15" t="s">
        <v>1</v>
      </c>
      <c r="E4" s="15" t="s">
        <v>30</v>
      </c>
      <c r="F4" s="16" t="s">
        <v>31</v>
      </c>
      <c r="G4" s="16" t="s">
        <v>32</v>
      </c>
      <c r="H4" s="29" t="s">
        <v>33</v>
      </c>
      <c r="I4" s="18" t="s">
        <v>34</v>
      </c>
      <c r="J4" s="16" t="s">
        <v>35</v>
      </c>
      <c r="K4" s="23" t="s">
        <v>36</v>
      </c>
      <c r="L4" s="19" t="s">
        <v>37</v>
      </c>
      <c r="M4" s="15" t="s">
        <v>38</v>
      </c>
      <c r="N4" s="15" t="s">
        <v>39</v>
      </c>
    </row>
    <row r="5" spans="1:14" ht="66">
      <c r="A5" s="52" t="s">
        <v>88</v>
      </c>
      <c r="B5" s="109" t="s">
        <v>224</v>
      </c>
      <c r="C5" s="105" t="s">
        <v>225</v>
      </c>
      <c r="D5" s="101" t="s">
        <v>4</v>
      </c>
      <c r="E5" s="6" t="s">
        <v>5</v>
      </c>
      <c r="F5" s="7">
        <v>46156</v>
      </c>
      <c r="G5" s="7">
        <v>46187</v>
      </c>
      <c r="H5" s="44">
        <f>ControladorDeProjetos3673111213151618[[#This Row],[Estimado 
Término]]-ControladorDeProjetos3673111213151618[[#This Row],[Estimado
Início]]</f>
        <v>31</v>
      </c>
      <c r="I5" s="8">
        <v>46156</v>
      </c>
      <c r="J5" s="7"/>
      <c r="K5" s="14"/>
      <c r="L5" s="9"/>
      <c r="M5" s="6"/>
      <c r="N5" s="6"/>
    </row>
    <row r="6" spans="1:14" ht="16.5">
      <c r="A6" s="52"/>
      <c r="B6" s="109"/>
      <c r="C6" s="6"/>
      <c r="D6" s="6"/>
      <c r="E6" s="6"/>
      <c r="F6" s="7"/>
      <c r="G6" s="7"/>
      <c r="H6" s="44"/>
      <c r="I6" s="8"/>
      <c r="J6" s="7"/>
      <c r="K6" s="14"/>
      <c r="L6" s="9"/>
      <c r="M6" s="6"/>
      <c r="N6" s="6"/>
    </row>
    <row r="7" spans="1:14" ht="16.5">
      <c r="A7" s="52"/>
      <c r="B7" s="109"/>
      <c r="C7" s="6"/>
      <c r="D7" s="6"/>
      <c r="E7" s="6"/>
      <c r="F7" s="7"/>
      <c r="G7" s="7"/>
      <c r="H7" s="44"/>
      <c r="I7" s="8"/>
      <c r="J7" s="7"/>
      <c r="K7" s="14"/>
      <c r="L7" s="9"/>
      <c r="M7" s="6"/>
      <c r="N7" s="6"/>
    </row>
    <row r="8" spans="1:14" ht="16.5">
      <c r="A8" s="39"/>
      <c r="B8" s="109"/>
      <c r="C8" s="6"/>
      <c r="D8" s="6"/>
      <c r="E8" s="6"/>
      <c r="F8" s="7"/>
      <c r="G8" s="7"/>
      <c r="H8" s="44" t="str">
        <f>IF(COUNTA('Prot. TLD - Biopark'!$F8,'Prot. TLD - Biopark'!$G8)&lt;&gt;2,"",DAYS360('Prot. TLD - Biopark'!$F8,'Prot. TLD - Biopark'!$G8,FALSE))</f>
        <v/>
      </c>
      <c r="I8" s="8"/>
      <c r="J8" s="7"/>
      <c r="K8" s="14" t="str">
        <f>IFERROR(IF(ControladorDeProjetos3673111213151618[[#This Row],[Duração Real (em dias)]]=0,"",IF(ABS((ControladorDeProjetos3673111213151618[[#This Row],[Duração Real (em dias)]]-ControladorDeProjetos3673111213151618[[#This Row],[Duração Estimada (em dias)]])/ControladorDeProjetos3673111213151618[[#This Row],[Duração Estimada (em dias)]])&gt;Sinalizador_Porcentagem,1,0)),"")</f>
        <v/>
      </c>
      <c r="L8" s="9" t="str">
        <f>IF(COUNTA('Prot. TLD - Biopark'!$I8,'Prot. TLD - Biopark'!$J8)&lt;&gt;2,"",DAYS360('Prot. TLD - Biopark'!$I8,'Prot. TLD - Biopark'!$J8,FALSE))</f>
        <v/>
      </c>
      <c r="M8" s="6"/>
      <c r="N8" s="6"/>
    </row>
    <row r="9" spans="1:14" ht="16.5">
      <c r="A9" s="39"/>
      <c r="C9" s="6"/>
      <c r="D9" s="6"/>
      <c r="E9" s="6"/>
      <c r="F9" s="7"/>
      <c r="G9" s="7"/>
      <c r="H9" s="44" t="str">
        <f>IF(COUNTA('Prot. TLD - Biopark'!$F9,'Prot. TLD - Biopark'!$G9)&lt;&gt;2,"",DAYS360('Prot. TLD - Biopark'!$F9,'Prot. TLD - Biopark'!$G9,FALSE))</f>
        <v/>
      </c>
      <c r="I9" s="8"/>
      <c r="J9" s="7"/>
      <c r="K9" s="14" t="str">
        <f>IFERROR(IF(ControladorDeProjetos3673111213151618[[#This Row],[Duração Real (em dias)]]=0,"",IF(ABS((ControladorDeProjetos3673111213151618[[#This Row],[Duração Real (em dias)]]-ControladorDeProjetos3673111213151618[[#This Row],[Duração Estimada (em dias)]])/ControladorDeProjetos3673111213151618[[#This Row],[Duração Estimada (em dias)]])&gt;Sinalizador_Porcentagem,1,0)),"")</f>
        <v/>
      </c>
      <c r="L9" s="9" t="str">
        <f>IF(COUNTA('Prot. TLD - Biopark'!$I9,'Prot. TLD - Biopark'!$J9)&lt;&gt;2,"",DAYS360('Prot. TLD - Biopark'!$I9,'Prot. TLD - Biopark'!$J9,FALSE))</f>
        <v/>
      </c>
      <c r="M9" s="6"/>
      <c r="N9" s="6"/>
    </row>
    <row r="10" spans="1:14" ht="16.5">
      <c r="A10" s="39"/>
      <c r="B10" s="109"/>
      <c r="C10" s="6"/>
      <c r="D10" s="6"/>
      <c r="E10" s="67"/>
      <c r="F10" s="7"/>
      <c r="G10" s="7"/>
      <c r="H10" s="44" t="str">
        <f>IF(COUNTA('Prot. TLD - Biopark'!$F10,'Prot. TLD - Biopark'!$G10)&lt;&gt;2,"",DAYS360('Prot. TLD - Biopark'!$F10,'Prot. TLD - Biopark'!$G10,FALSE))</f>
        <v/>
      </c>
      <c r="I10" s="8"/>
      <c r="J10" s="7"/>
      <c r="K10" s="14" t="str">
        <f>IFERROR(IF(ControladorDeProjetos3673111213151618[[#This Row],[Duração Real (em dias)]]=0,"",IF(ABS((ControladorDeProjetos3673111213151618[[#This Row],[Duração Real (em dias)]]-ControladorDeProjetos3673111213151618[[#This Row],[Duração Estimada (em dias)]])/ControladorDeProjetos3673111213151618[[#This Row],[Duração Estimada (em dias)]])&gt;Sinalizador_Porcentagem,1,0)),"")</f>
        <v/>
      </c>
      <c r="L10" s="9" t="str">
        <f>IF(COUNTA('Prot. TLD - Biopark'!$I10,'Prot. TLD - Biopark'!$J10)&lt;&gt;2,"",DAYS360('Prot. TLD - Biopark'!$I10,'Prot. TLD - Biopark'!$J10,FALSE))</f>
        <v/>
      </c>
      <c r="M10" s="6"/>
      <c r="N10" s="6"/>
    </row>
    <row r="11" spans="1:14" ht="16.5">
      <c r="A11" s="39"/>
      <c r="B11" s="109"/>
      <c r="C11" s="6"/>
      <c r="D11" s="6"/>
      <c r="E11" s="68"/>
      <c r="F11" s="7"/>
      <c r="G11" s="7"/>
      <c r="H11" s="44" t="str">
        <f>IF(COUNTA('Prot. TLD - Biopark'!$F11,'Prot. TLD - Biopark'!$G11)&lt;&gt;2,"",DAYS360('Prot. TLD - Biopark'!$F11,'Prot. TLD - Biopark'!$G11,FALSE))</f>
        <v/>
      </c>
      <c r="I11" s="8"/>
      <c r="J11" s="7"/>
      <c r="K11" s="14" t="str">
        <f>IFERROR(IF(ControladorDeProjetos3673111213151618[[#This Row],[Duração Real (em dias)]]=0,"",IF(ABS((ControladorDeProjetos3673111213151618[[#This Row],[Duração Real (em dias)]]-ControladorDeProjetos3673111213151618[[#This Row],[Duração Estimada (em dias)]])/ControladorDeProjetos3673111213151618[[#This Row],[Duração Estimada (em dias)]])&gt;Sinalizador_Porcentagem,1,0)),"")</f>
        <v/>
      </c>
      <c r="L11" s="9" t="str">
        <f>IF(COUNTA('Prot. TLD - Biopark'!$I11,'Prot. TLD - Biopark'!$J11)&lt;&gt;2,"",DAYS360('Prot. TLD - Biopark'!$I11,'Prot. TLD - Biopark'!$J11,FALSE))</f>
        <v/>
      </c>
      <c r="M11" s="26"/>
      <c r="N11" s="6"/>
    </row>
    <row r="12" spans="1:14" ht="16.5">
      <c r="A12" s="39"/>
      <c r="B12" s="109"/>
      <c r="C12" s="6"/>
      <c r="D12" s="6"/>
      <c r="E12" s="6"/>
      <c r="F12" s="7"/>
      <c r="G12" s="7"/>
      <c r="H12" s="44" t="str">
        <f>IF(COUNTA('Prot. TLD - Biopark'!$F12,'Prot. TLD - Biopark'!$G12)&lt;&gt;2,"",DAYS360('Prot. TLD - Biopark'!$F12,'Prot. TLD - Biopark'!$G12,FALSE))</f>
        <v/>
      </c>
      <c r="I12" s="8"/>
      <c r="J12" s="7"/>
      <c r="K12" s="14" t="str">
        <f>IFERROR(IF(ControladorDeProjetos3673111213151618[[#This Row],[Duração Real (em dias)]]=0,"",IF(ABS((ControladorDeProjetos3673111213151618[[#This Row],[Duração Real (em dias)]]-ControladorDeProjetos3673111213151618[[#This Row],[Duração Estimada (em dias)]])/ControladorDeProjetos3673111213151618[[#This Row],[Duração Estimada (em dias)]])&gt;Sinalizador_Porcentagem,1,0)),"")</f>
        <v/>
      </c>
      <c r="L12" s="9" t="str">
        <f>IF(COUNTA('Prot. TLD - Biopark'!$I12,'Prot. TLD - Biopark'!$J12)&lt;&gt;2,"",DAYS360('Prot. TLD - Biopark'!$I12,'Prot. TLD - Biopark'!$J12,FALSE))</f>
        <v/>
      </c>
      <c r="M12" s="6"/>
      <c r="N12" s="6"/>
    </row>
    <row r="13" spans="1:14" ht="16.5">
      <c r="A13" s="40"/>
      <c r="B13" s="110"/>
      <c r="C13" s="10"/>
      <c r="D13" s="10"/>
      <c r="E13" s="6"/>
      <c r="F13" s="11"/>
      <c r="G13" s="11"/>
      <c r="H13" s="44" t="str">
        <f>IF(COUNTA('Prot. TLD - Biopark'!$F13,'Prot. TLD - Biopark'!$G13)&lt;&gt;2,"",DAYS360('Prot. TLD - Biopark'!$F13,'Prot. TLD - Biopark'!$G13,FALSE))</f>
        <v/>
      </c>
      <c r="I13" s="8"/>
      <c r="J13" s="11"/>
      <c r="K13" s="14" t="str">
        <f>IFERROR(IF(ControladorDeProjetos3673111213151618[[#This Row],[Duração Real (em dias)]]=0,"",IF(ABS((ControladorDeProjetos3673111213151618[[#This Row],[Duração Real (em dias)]]-ControladorDeProjetos3673111213151618[[#This Row],[Duração Estimada (em dias)]])/ControladorDeProjetos3673111213151618[[#This Row],[Duração Estimada (em dias)]])&gt;Sinalizador_Porcentagem,1,0)),"")</f>
        <v/>
      </c>
      <c r="L13" s="12" t="str">
        <f>IF(COUNTA('Prot. TLD - Biopark'!$I13,'Prot. TLD - Biopark'!$J13)&lt;&gt;2,"",DAYS360('Prot. TLD - Biopark'!$I13,'Prot. TLD - Biopark'!$J13,FALSE))</f>
        <v/>
      </c>
      <c r="M13" s="10"/>
      <c r="N13" s="10"/>
    </row>
    <row r="14" spans="1:14" ht="16.5">
      <c r="A14" s="40"/>
      <c r="B14" s="110"/>
      <c r="C14" s="10"/>
      <c r="D14" s="10"/>
      <c r="E14" s="6"/>
      <c r="F14" s="11"/>
      <c r="G14" s="11"/>
      <c r="H14" s="44" t="str">
        <f>IF(COUNTA('Prot. TLD - Biopark'!$F14,'Prot. TLD - Biopark'!$G14)&lt;&gt;2,"",DAYS360('Prot. TLD - Biopark'!$F14,'Prot. TLD - Biopark'!$G14,FALSE))</f>
        <v/>
      </c>
      <c r="I14" s="8"/>
      <c r="J14" s="11"/>
      <c r="K14" s="14" t="str">
        <f>IFERROR(IF(ControladorDeProjetos3673111213151618[[#This Row],[Duração Real (em dias)]]=0,"",IF(ABS((ControladorDeProjetos3673111213151618[[#This Row],[Duração Real (em dias)]]-ControladorDeProjetos3673111213151618[[#This Row],[Duração Estimada (em dias)]])/ControladorDeProjetos3673111213151618[[#This Row],[Duração Estimada (em dias)]])&gt;Sinalizador_Porcentagem,1,0)),"")</f>
        <v/>
      </c>
      <c r="L14" s="12" t="str">
        <f>IF(COUNTA('Prot. TLD - Biopark'!$I14,'Prot. TLD - Biopark'!$J14)&lt;&gt;2,"",DAYS360('Prot. TLD - Biopark'!$I14,'Prot. TLD - Biopark'!$J14,FALSE))</f>
        <v/>
      </c>
      <c r="M14" s="10"/>
      <c r="N14" s="10"/>
    </row>
    <row r="15" spans="1:14" ht="16.5">
      <c r="A15" s="41"/>
      <c r="B15" s="86"/>
      <c r="C15" s="5"/>
      <c r="D15" s="5"/>
      <c r="E15" s="5"/>
      <c r="F15" s="11"/>
      <c r="G15" s="11"/>
      <c r="H15" s="44" t="str">
        <f>IF(COUNTA('Prot. TLD - Biopark'!$F15,'Prot. TLD - Biopark'!$G15)&lt;&gt;2,"",DAYS360('Prot. TLD - Biopark'!$F15,'Prot. TLD - Biopark'!$G15,FALSE))</f>
        <v/>
      </c>
      <c r="I15" s="8"/>
      <c r="J15" s="11"/>
      <c r="K15" s="14" t="str">
        <f>IFERROR(IF(ControladorDeProjetos3673111213151618[[#This Row],[Duração Real (em dias)]]=0,"",IF(ABS((ControladorDeProjetos3673111213151618[[#This Row],[Duração Real (em dias)]]-ControladorDeProjetos3673111213151618[[#This Row],[Duração Estimada (em dias)]])/ControladorDeProjetos3673111213151618[[#This Row],[Duração Estimada (em dias)]])&gt;Sinalizador_Porcentagem,1,0)),"")</f>
        <v/>
      </c>
      <c r="L15" s="12" t="str">
        <f>IF(COUNTA('Prot. TLD - Biopark'!$I15,'Prot. TLD - Biopark'!$J15)&lt;&gt;2,"",DAYS360('Prot. TLD - Biopark'!$I15,'Prot. TLD - Biopark'!$J15,FALSE))</f>
        <v/>
      </c>
      <c r="M15" s="5"/>
      <c r="N15" s="5"/>
    </row>
  </sheetData>
  <mergeCells count="2">
    <mergeCell ref="A1:F1"/>
    <mergeCell ref="I1:N3"/>
  </mergeCells>
  <conditionalFormatting sqref="A5:A7">
    <cfRule type="containsText" dxfId="164" priority="1" operator="containsText" text="ANÁLISE">
      <formula>NOT(ISERROR(SEARCH("ANÁLISE",A5)))</formula>
    </cfRule>
    <cfRule type="containsText" dxfId="163" priority="2" operator="containsText" text="ANÁL">
      <formula>NOT(ISERROR(SEARCH("ANÁL",A5)))</formula>
    </cfRule>
    <cfRule type="containsText" dxfId="162" priority="3" operator="containsText" text="CANC">
      <formula>NOT(ISERROR(SEARCH("CANC",A5)))</formula>
    </cfRule>
    <cfRule type="containsText" dxfId="161" priority="4" operator="containsText" text="APRO">
      <formula>NOT(ISERROR(SEARCH("APRO",A5)))</formula>
    </cfRule>
    <cfRule type="containsText" dxfId="160" priority="5" operator="containsText" text="ANÁL">
      <formula>NOT(ISERROR(SEARCH("ANÁL",A5)))</formula>
    </cfRule>
    <cfRule type="containsText" dxfId="159" priority="6" operator="containsText" text="CANC.">
      <formula>NOT(ISERROR(SEARCH("CANC.",A5)))</formula>
    </cfRule>
    <cfRule type="containsText" dxfId="158" priority="7" operator="containsText" text="APRO.">
      <formula>NOT(ISERROR(SEARCH("APRO.",A5)))</formula>
    </cfRule>
  </conditionalFormatting>
  <conditionalFormatting sqref="L5:L15">
    <cfRule type="expression" dxfId="157" priority="8">
      <formula>(ABS((L5-H5))/H5)&gt;Sinalizador_Porcentagem</formula>
    </cfRule>
  </conditionalFormatting>
  <dataValidations count="15">
    <dataValidation type="list" allowBlank="1" showInputMessage="1" showErrorMessage="1" sqref="A5:A7" xr:uid="{65F2A6E4-D726-4739-9A36-629651BF11CA}">
      <formula1>"APRO, ANÁL, CANC,"</formula1>
    </dataValidation>
    <dataValidation allowBlank="1" showInputMessage="1" showErrorMessage="1" prompt="Porcentagem acima/abaixo personalizáveis usadas para realçar o trabalho real em horas e dias na tabela de projetos que excedam ou fiquem abaixo deste número" sqref="D2" xr:uid="{117CA5CC-8D69-4443-924D-949C88776BC9}"/>
    <dataValidation type="list" allowBlank="1" showInputMessage="1" showErrorMessage="1" error="Selecione uma categoria na lista ou crie uma nova categoria para exibir nesta lista da planilha Configuração." sqref="D5:D15" xr:uid="{6E6AD081-F500-43CF-8F69-97014C09C959}">
      <formula1>Categoria_Lista</formula1>
    </dataValidation>
    <dataValidation type="list" allowBlank="1" showInputMessage="1" showErrorMessage="1" error="Selecione um funcionário na lista ou crie um novo funcionário para exibir nesta lista da planilha Configuração." sqref="E5:E15" xr:uid="{9117FDBE-9017-49E0-AB6F-E32DDC6C3C14}">
      <formula1>Funcionário_Lista</formula1>
    </dataValidation>
    <dataValidation allowBlank="1" showInputMessage="1" showErrorMessage="1" prompt="Insira os nomes de projetos nesta coluna" sqref="A4:C4" xr:uid="{BF06EA07-C5EE-4BBA-A169-3095696EB008}"/>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2A0A3DB9-BEE4-4259-97E6-9229CEE14E8C}"/>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9EDE7E5B-F61F-479B-B60B-2DE13E3602EF}"/>
    <dataValidation allowBlank="1" showInputMessage="1" showErrorMessage="1" prompt="Insira a data de início estimada do projeto nesta coluna" sqref="F4" xr:uid="{54076C57-AAF3-4B1E-8020-6FD2C252875B}"/>
    <dataValidation allowBlank="1" showInputMessage="1" showErrorMessage="1" prompt="Insira a data de término estimada do projeto nesta coluna" sqref="G4" xr:uid="{8D284253-24AB-445D-8266-D23D913CE749}"/>
    <dataValidation allowBlank="1" showInputMessage="1" showErrorMessage="1" prompt="Insira a duração estimada do projeto em dias nesta coluna" sqref="H4" xr:uid="{DE16E37E-C209-46DA-AA88-104D7309E403}"/>
    <dataValidation allowBlank="1" showInputMessage="1" showErrorMessage="1" prompt="Insira a data de início real do projeto nesta coluna" sqref="I4" xr:uid="{82A2919F-7451-4D7F-8EB6-E4AA09725C8D}"/>
    <dataValidation allowBlank="1" showInputMessage="1" showErrorMessage="1" prompt="Insira a data de término real do projeto nesta coluna" sqref="J4" xr:uid="{80EE9AF5-71D7-4E46-BDEA-233D99FBBC98}"/>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0CDBFD20-B2EF-46AA-BF20-D9F20AA7BF87}"/>
    <dataValidation allowBlank="1" showInputMessage="1" showErrorMessage="1" prompt="Insira a duração real de projeto em dias. Valores que atendem aos critérios Acima/Abaixo são destacados em negrito vermelho e geram um ícone de sinalizador na coluna M à esquerda" sqref="L4" xr:uid="{60FF5B74-96BF-4F7B-BD4A-DAEC61655385}"/>
    <dataValidation allowBlank="1" showInputMessage="1" showErrorMessage="1" prompt="Insira anotações para os projetos nesta coluna" sqref="M4:N4" xr:uid="{F281F132-10D3-4C3F-B09F-5DFEA5D5C3A2}"/>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35FCFA18-653F-42A8-9E5C-59DA676BE879}">
            <x14:iconSet custom="1">
              <x14:cfvo type="percent">
                <xm:f>0</xm:f>
              </x14:cfvo>
              <x14:cfvo type="num">
                <xm:f>0</xm:f>
              </x14:cfvo>
              <x14:cfvo type="num">
                <xm:f>1</xm:f>
              </x14:cfvo>
              <x14:cfIcon iconSet="NoIcons" iconId="0"/>
              <x14:cfIcon iconSet="NoIcons" iconId="0"/>
              <x14:cfIcon iconSet="3Flags" iconId="0"/>
            </x14:iconSet>
          </x14:cfRule>
          <xm:sqref>K5:K15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BD013-0E75-4710-9661-0C932EB9F887}">
  <sheetPr>
    <tabColor theme="8"/>
    <pageSetUpPr autoPageBreaks="0" fitToPage="1"/>
  </sheetPr>
  <dimension ref="A1:N15"/>
  <sheetViews>
    <sheetView showGridLines="0" zoomScale="110" zoomScaleNormal="110" workbookViewId="0">
      <pane ySplit="4" topLeftCell="A5" activePane="bottomLeft" state="frozen"/>
      <selection pane="bottomLeft" sqref="A1:F1"/>
    </sheetView>
  </sheetViews>
  <sheetFormatPr defaultColWidth="9" defaultRowHeight="30" customHeight="1"/>
  <cols>
    <col min="1" max="1" width="23.5" style="31" customWidth="1"/>
    <col min="2" max="2" width="23.75" style="107" customWidth="1"/>
    <col min="3" max="3" width="20.625" customWidth="1"/>
    <col min="4" max="4" width="16.625" customWidth="1"/>
    <col min="5" max="5" width="13.75" style="1" customWidth="1"/>
    <col min="6" max="6" width="14.375" style="1" customWidth="1"/>
    <col min="7" max="7" width="16.375" customWidth="1"/>
    <col min="8" max="8" width="23.125" style="34" customWidth="1"/>
    <col min="9" max="9" width="14.875" style="1" customWidth="1"/>
    <col min="10" max="10" width="14.625" style="1" customWidth="1"/>
    <col min="11" max="11" width="13.625" customWidth="1"/>
    <col min="12" max="12" width="28.25" customWidth="1"/>
    <col min="13" max="13" width="24" customWidth="1"/>
    <col min="14" max="14" width="25.625" customWidth="1"/>
    <col min="15" max="15" width="2.625" customWidth="1"/>
  </cols>
  <sheetData>
    <row r="1" spans="1:14" ht="65.099999999999994" customHeight="1">
      <c r="A1" s="131" t="s">
        <v>226</v>
      </c>
      <c r="B1" s="131"/>
      <c r="C1" s="131"/>
      <c r="D1" s="131"/>
      <c r="E1" s="131"/>
      <c r="F1" s="131"/>
      <c r="G1" s="1" t="s">
        <v>219</v>
      </c>
      <c r="H1" s="34" t="s">
        <v>220</v>
      </c>
      <c r="I1" s="130"/>
      <c r="J1" s="130"/>
      <c r="K1" s="130"/>
      <c r="L1" s="130"/>
      <c r="M1" s="130"/>
      <c r="N1" s="130"/>
    </row>
    <row r="2" spans="1:14" ht="20.25" customHeight="1">
      <c r="A2" s="48"/>
      <c r="B2" s="106"/>
      <c r="C2" s="3" t="s">
        <v>26</v>
      </c>
      <c r="D2" s="20"/>
      <c r="H2" s="92"/>
      <c r="I2" s="130"/>
      <c r="J2" s="130"/>
      <c r="K2" s="130"/>
      <c r="L2" s="130"/>
      <c r="M2" s="130"/>
      <c r="N2" s="130"/>
    </row>
    <row r="3" spans="1:14" ht="20.25" customHeight="1">
      <c r="I3" s="130"/>
      <c r="J3" s="130"/>
      <c r="K3" s="130"/>
      <c r="L3" s="130"/>
      <c r="M3" s="130"/>
      <c r="N3" s="130"/>
    </row>
    <row r="4" spans="1:14" ht="54.95" customHeight="1">
      <c r="A4" s="35" t="s">
        <v>126</v>
      </c>
      <c r="B4" s="108" t="s">
        <v>221</v>
      </c>
      <c r="C4" s="15" t="s">
        <v>29</v>
      </c>
      <c r="D4" s="15" t="s">
        <v>1</v>
      </c>
      <c r="E4" s="15" t="s">
        <v>30</v>
      </c>
      <c r="F4" s="16" t="s">
        <v>31</v>
      </c>
      <c r="G4" s="16" t="s">
        <v>32</v>
      </c>
      <c r="H4" s="29" t="s">
        <v>33</v>
      </c>
      <c r="I4" s="18" t="s">
        <v>34</v>
      </c>
      <c r="J4" s="16" t="s">
        <v>35</v>
      </c>
      <c r="K4" s="23" t="s">
        <v>36</v>
      </c>
      <c r="L4" s="19" t="s">
        <v>37</v>
      </c>
      <c r="M4" s="15" t="s">
        <v>38</v>
      </c>
      <c r="N4" s="15" t="s">
        <v>39</v>
      </c>
    </row>
    <row r="5" spans="1:14" ht="66">
      <c r="A5" s="52" t="s">
        <v>40</v>
      </c>
      <c r="B5" s="109">
        <v>20252660794528</v>
      </c>
      <c r="C5" s="102" t="s">
        <v>227</v>
      </c>
      <c r="D5" s="101" t="s">
        <v>18</v>
      </c>
      <c r="E5" s="6" t="s">
        <v>10</v>
      </c>
      <c r="F5" s="7">
        <v>46015</v>
      </c>
      <c r="G5" s="7">
        <v>46045</v>
      </c>
      <c r="H5" s="44">
        <f>ControladorDeProjetos36731112131516[[#This Row],[Estimado 
Término]]-ControladorDeProjetos36731112131516[[#This Row],[Estimado
Início]]</f>
        <v>30</v>
      </c>
      <c r="I5" s="8">
        <v>46380</v>
      </c>
      <c r="J5" s="7">
        <v>46030</v>
      </c>
      <c r="K5" s="14"/>
      <c r="L5" s="9">
        <f>ControladorDeProjetos36731112131516[[#This Row],[Real 
Início]]-ControladorDeProjetos36731112131516[[#This Row],[Real
Término]]</f>
        <v>350</v>
      </c>
      <c r="M5" s="6"/>
      <c r="N5" s="6"/>
    </row>
    <row r="6" spans="1:14" ht="16.5">
      <c r="A6" s="52"/>
      <c r="B6" s="109"/>
      <c r="C6" s="6"/>
      <c r="D6" s="6"/>
      <c r="E6" s="6"/>
      <c r="F6" s="7"/>
      <c r="G6" s="7"/>
      <c r="H6" s="44"/>
      <c r="I6" s="8"/>
      <c r="J6" s="7"/>
      <c r="K6" s="14"/>
      <c r="L6" s="9"/>
      <c r="M6" s="6"/>
      <c r="N6" s="6"/>
    </row>
    <row r="7" spans="1:14" ht="16.5">
      <c r="A7" s="52"/>
      <c r="B7" s="109"/>
      <c r="C7" s="6"/>
      <c r="D7" s="6"/>
      <c r="E7" s="6"/>
      <c r="F7" s="7"/>
      <c r="G7" s="7"/>
      <c r="H7" s="44"/>
      <c r="I7" s="8"/>
      <c r="J7" s="7"/>
      <c r="K7" s="14"/>
      <c r="L7" s="9"/>
      <c r="M7" s="6"/>
      <c r="N7" s="6"/>
    </row>
    <row r="8" spans="1:14" ht="16.5">
      <c r="A8" s="39"/>
      <c r="B8" s="109"/>
      <c r="C8" s="6"/>
      <c r="D8" s="6"/>
      <c r="E8" s="6"/>
      <c r="F8" s="7"/>
      <c r="G8" s="7"/>
      <c r="H8" s="44" t="str">
        <f>IF(COUNTA('Prot. CVEL - Bresolin'!$F8,'Prot. CVEL - Bresolin'!$G8)&lt;&gt;2,"",DAYS360('Prot. CVEL - Bresolin'!$F8,'Prot. CVEL - Bresolin'!$G8,FALSE))</f>
        <v/>
      </c>
      <c r="I8" s="8"/>
      <c r="J8" s="7"/>
      <c r="K8" s="14" t="str">
        <f>IFERROR(IF(ControladorDeProjetos36731112131516[[#This Row],[Duração Real (em dias)]]=0,"",IF(ABS((ControladorDeProjetos36731112131516[[#This Row],[Duração Real (em dias)]]-ControladorDeProjetos36731112131516[[#This Row],[Duração Estimada (em dias)]])/ControladorDeProjetos36731112131516[[#This Row],[Duração Estimada (em dias)]])&gt;Sinalizador_Porcentagem,1,0)),"")</f>
        <v/>
      </c>
      <c r="L8" s="9" t="str">
        <f>IF(COUNTA('Prot. CVEL - Bresolin'!$I8,'Prot. CVEL - Bresolin'!$J8)&lt;&gt;2,"",DAYS360('Prot. CVEL - Bresolin'!$I8,'Prot. CVEL - Bresolin'!$J8,FALSE))</f>
        <v/>
      </c>
      <c r="M8" s="6"/>
      <c r="N8" s="6"/>
    </row>
    <row r="9" spans="1:14" ht="16.5">
      <c r="A9" s="39"/>
      <c r="C9" s="6"/>
      <c r="D9" s="6"/>
      <c r="E9" s="6"/>
      <c r="F9" s="7"/>
      <c r="G9" s="7"/>
      <c r="H9" s="44" t="str">
        <f>IF(COUNTA('Prot. CVEL - Bresolin'!$F9,'Prot. CVEL - Bresolin'!$G9)&lt;&gt;2,"",DAYS360('Prot. CVEL - Bresolin'!$F9,'Prot. CVEL - Bresolin'!$G9,FALSE))</f>
        <v/>
      </c>
      <c r="I9" s="8"/>
      <c r="J9" s="7"/>
      <c r="K9" s="14" t="str">
        <f>IFERROR(IF(ControladorDeProjetos36731112131516[[#This Row],[Duração Real (em dias)]]=0,"",IF(ABS((ControladorDeProjetos36731112131516[[#This Row],[Duração Real (em dias)]]-ControladorDeProjetos36731112131516[[#This Row],[Duração Estimada (em dias)]])/ControladorDeProjetos36731112131516[[#This Row],[Duração Estimada (em dias)]])&gt;Sinalizador_Porcentagem,1,0)),"")</f>
        <v/>
      </c>
      <c r="L9" s="9" t="str">
        <f>IF(COUNTA('Prot. CVEL - Bresolin'!$I9,'Prot. CVEL - Bresolin'!$J9)&lt;&gt;2,"",DAYS360('Prot. CVEL - Bresolin'!$I9,'Prot. CVEL - Bresolin'!$J9,FALSE))</f>
        <v/>
      </c>
      <c r="M9" s="6"/>
      <c r="N9" s="6"/>
    </row>
    <row r="10" spans="1:14" ht="16.5">
      <c r="A10" s="39"/>
      <c r="B10" s="109"/>
      <c r="C10" s="6"/>
      <c r="D10" s="6"/>
      <c r="E10" s="67"/>
      <c r="F10" s="7"/>
      <c r="G10" s="7"/>
      <c r="H10" s="44" t="str">
        <f>IF(COUNTA('Prot. CVEL - Bresolin'!$F10,'Prot. CVEL - Bresolin'!$G10)&lt;&gt;2,"",DAYS360('Prot. CVEL - Bresolin'!$F10,'Prot. CVEL - Bresolin'!$G10,FALSE))</f>
        <v/>
      </c>
      <c r="I10" s="8"/>
      <c r="J10" s="7"/>
      <c r="K10" s="14" t="str">
        <f>IFERROR(IF(ControladorDeProjetos36731112131516[[#This Row],[Duração Real (em dias)]]=0,"",IF(ABS((ControladorDeProjetos36731112131516[[#This Row],[Duração Real (em dias)]]-ControladorDeProjetos36731112131516[[#This Row],[Duração Estimada (em dias)]])/ControladorDeProjetos36731112131516[[#This Row],[Duração Estimada (em dias)]])&gt;Sinalizador_Porcentagem,1,0)),"")</f>
        <v/>
      </c>
      <c r="L10" s="9" t="str">
        <f>IF(COUNTA('Prot. CVEL - Bresolin'!$I10,'Prot. CVEL - Bresolin'!$J10)&lt;&gt;2,"",DAYS360('Prot. CVEL - Bresolin'!$I10,'Prot. CVEL - Bresolin'!$J10,FALSE))</f>
        <v/>
      </c>
      <c r="M10" s="6"/>
      <c r="N10" s="6"/>
    </row>
    <row r="11" spans="1:14" ht="16.5">
      <c r="A11" s="39"/>
      <c r="B11" s="109"/>
      <c r="C11" s="6"/>
      <c r="D11" s="6"/>
      <c r="E11" s="68"/>
      <c r="F11" s="7"/>
      <c r="G11" s="7"/>
      <c r="H11" s="44" t="str">
        <f>IF(COUNTA('Prot. CVEL - Bresolin'!$F11,'Prot. CVEL - Bresolin'!$G11)&lt;&gt;2,"",DAYS360('Prot. CVEL - Bresolin'!$F11,'Prot. CVEL - Bresolin'!$G11,FALSE))</f>
        <v/>
      </c>
      <c r="I11" s="8"/>
      <c r="J11" s="7"/>
      <c r="K11" s="14" t="str">
        <f>IFERROR(IF(ControladorDeProjetos36731112131516[[#This Row],[Duração Real (em dias)]]=0,"",IF(ABS((ControladorDeProjetos36731112131516[[#This Row],[Duração Real (em dias)]]-ControladorDeProjetos36731112131516[[#This Row],[Duração Estimada (em dias)]])/ControladorDeProjetos36731112131516[[#This Row],[Duração Estimada (em dias)]])&gt;Sinalizador_Porcentagem,1,0)),"")</f>
        <v/>
      </c>
      <c r="L11" s="9" t="str">
        <f>IF(COUNTA('Prot. CVEL - Bresolin'!$I11,'Prot. CVEL - Bresolin'!$J11)&lt;&gt;2,"",DAYS360('Prot. CVEL - Bresolin'!$I11,'Prot. CVEL - Bresolin'!$J11,FALSE))</f>
        <v/>
      </c>
      <c r="M11" s="26"/>
      <c r="N11" s="6"/>
    </row>
    <row r="12" spans="1:14" ht="16.5">
      <c r="A12" s="39"/>
      <c r="B12" s="109"/>
      <c r="C12" s="6"/>
      <c r="D12" s="6"/>
      <c r="E12" s="6"/>
      <c r="F12" s="7"/>
      <c r="G12" s="7"/>
      <c r="H12" s="44" t="str">
        <f>IF(COUNTA('Prot. CVEL - Bresolin'!$F12,'Prot. CVEL - Bresolin'!$G12)&lt;&gt;2,"",DAYS360('Prot. CVEL - Bresolin'!$F12,'Prot. CVEL - Bresolin'!$G12,FALSE))</f>
        <v/>
      </c>
      <c r="I12" s="8"/>
      <c r="J12" s="7"/>
      <c r="K12" s="14" t="str">
        <f>IFERROR(IF(ControladorDeProjetos36731112131516[[#This Row],[Duração Real (em dias)]]=0,"",IF(ABS((ControladorDeProjetos36731112131516[[#This Row],[Duração Real (em dias)]]-ControladorDeProjetos36731112131516[[#This Row],[Duração Estimada (em dias)]])/ControladorDeProjetos36731112131516[[#This Row],[Duração Estimada (em dias)]])&gt;Sinalizador_Porcentagem,1,0)),"")</f>
        <v/>
      </c>
      <c r="L12" s="9" t="str">
        <f>IF(COUNTA('Prot. CVEL - Bresolin'!$I12,'Prot. CVEL - Bresolin'!$J12)&lt;&gt;2,"",DAYS360('Prot. CVEL - Bresolin'!$I12,'Prot. CVEL - Bresolin'!$J12,FALSE))</f>
        <v/>
      </c>
      <c r="M12" s="6"/>
      <c r="N12" s="6"/>
    </row>
    <row r="13" spans="1:14" ht="16.5">
      <c r="A13" s="40"/>
      <c r="B13" s="110"/>
      <c r="C13" s="10"/>
      <c r="D13" s="10"/>
      <c r="E13" s="6"/>
      <c r="F13" s="11"/>
      <c r="G13" s="11"/>
      <c r="H13" s="44" t="str">
        <f>IF(COUNTA('Prot. CVEL - Bresolin'!$F13,'Prot. CVEL - Bresolin'!$G13)&lt;&gt;2,"",DAYS360('Prot. CVEL - Bresolin'!$F13,'Prot. CVEL - Bresolin'!$G13,FALSE))</f>
        <v/>
      </c>
      <c r="I13" s="8"/>
      <c r="J13" s="11"/>
      <c r="K13" s="14" t="str">
        <f>IFERROR(IF(ControladorDeProjetos36731112131516[[#This Row],[Duração Real (em dias)]]=0,"",IF(ABS((ControladorDeProjetos36731112131516[[#This Row],[Duração Real (em dias)]]-ControladorDeProjetos36731112131516[[#This Row],[Duração Estimada (em dias)]])/ControladorDeProjetos36731112131516[[#This Row],[Duração Estimada (em dias)]])&gt;Sinalizador_Porcentagem,1,0)),"")</f>
        <v/>
      </c>
      <c r="L13" s="12" t="str">
        <f>IF(COUNTA('Prot. CVEL - Bresolin'!$I13,'Prot. CVEL - Bresolin'!$J13)&lt;&gt;2,"",DAYS360('Prot. CVEL - Bresolin'!$I13,'Prot. CVEL - Bresolin'!$J13,FALSE))</f>
        <v/>
      </c>
      <c r="M13" s="10"/>
      <c r="N13" s="10"/>
    </row>
    <row r="14" spans="1:14" ht="16.5">
      <c r="A14" s="40"/>
      <c r="B14" s="110"/>
      <c r="C14" s="10"/>
      <c r="D14" s="10"/>
      <c r="E14" s="6"/>
      <c r="F14" s="11"/>
      <c r="G14" s="11"/>
      <c r="H14" s="44" t="str">
        <f>IF(COUNTA('Prot. CVEL - Bresolin'!$F14,'Prot. CVEL - Bresolin'!$G14)&lt;&gt;2,"",DAYS360('Prot. CVEL - Bresolin'!$F14,'Prot. CVEL - Bresolin'!$G14,FALSE))</f>
        <v/>
      </c>
      <c r="I14" s="8"/>
      <c r="J14" s="11"/>
      <c r="K14" s="14" t="str">
        <f>IFERROR(IF(ControladorDeProjetos36731112131516[[#This Row],[Duração Real (em dias)]]=0,"",IF(ABS((ControladorDeProjetos36731112131516[[#This Row],[Duração Real (em dias)]]-ControladorDeProjetos36731112131516[[#This Row],[Duração Estimada (em dias)]])/ControladorDeProjetos36731112131516[[#This Row],[Duração Estimada (em dias)]])&gt;Sinalizador_Porcentagem,1,0)),"")</f>
        <v/>
      </c>
      <c r="L14" s="12" t="str">
        <f>IF(COUNTA('Prot. CVEL - Bresolin'!$I14,'Prot. CVEL - Bresolin'!$J14)&lt;&gt;2,"",DAYS360('Prot. CVEL - Bresolin'!$I14,'Prot. CVEL - Bresolin'!$J14,FALSE))</f>
        <v/>
      </c>
      <c r="M14" s="10"/>
      <c r="N14" s="10"/>
    </row>
    <row r="15" spans="1:14" ht="16.5">
      <c r="A15" s="41"/>
      <c r="B15" s="86"/>
      <c r="C15" s="5"/>
      <c r="D15" s="5"/>
      <c r="E15" s="5"/>
      <c r="F15" s="11"/>
      <c r="G15" s="11"/>
      <c r="H15" s="44" t="str">
        <f>IF(COUNTA('Prot. CVEL - Bresolin'!$F15,'Prot. CVEL - Bresolin'!$G15)&lt;&gt;2,"",DAYS360('Prot. CVEL - Bresolin'!$F15,'Prot. CVEL - Bresolin'!$G15,FALSE))</f>
        <v/>
      </c>
      <c r="I15" s="8"/>
      <c r="J15" s="11"/>
      <c r="K15" s="14" t="str">
        <f>IFERROR(IF(ControladorDeProjetos36731112131516[[#This Row],[Duração Real (em dias)]]=0,"",IF(ABS((ControladorDeProjetos36731112131516[[#This Row],[Duração Real (em dias)]]-ControladorDeProjetos36731112131516[[#This Row],[Duração Estimada (em dias)]])/ControladorDeProjetos36731112131516[[#This Row],[Duração Estimada (em dias)]])&gt;Sinalizador_Porcentagem,1,0)),"")</f>
        <v/>
      </c>
      <c r="L15" s="12" t="str">
        <f>IF(COUNTA('Prot. CVEL - Bresolin'!$I15,'Prot. CVEL - Bresolin'!$J15)&lt;&gt;2,"",DAYS360('Prot. CVEL - Bresolin'!$I15,'Prot. CVEL - Bresolin'!$J15,FALSE))</f>
        <v/>
      </c>
      <c r="M15" s="5"/>
      <c r="N15" s="5"/>
    </row>
  </sheetData>
  <mergeCells count="2">
    <mergeCell ref="A1:F1"/>
    <mergeCell ref="I1:N3"/>
  </mergeCells>
  <conditionalFormatting sqref="A5:A7">
    <cfRule type="containsText" dxfId="149" priority="1" operator="containsText" text="ANÁLISE">
      <formula>NOT(ISERROR(SEARCH("ANÁLISE",A5)))</formula>
    </cfRule>
    <cfRule type="containsText" dxfId="148" priority="2" operator="containsText" text="ANÁL">
      <formula>NOT(ISERROR(SEARCH("ANÁL",A5)))</formula>
    </cfRule>
    <cfRule type="containsText" dxfId="147" priority="3" operator="containsText" text="CANC">
      <formula>NOT(ISERROR(SEARCH("CANC",A5)))</formula>
    </cfRule>
    <cfRule type="containsText" dxfId="146" priority="4" operator="containsText" text="APRO">
      <formula>NOT(ISERROR(SEARCH("APRO",A5)))</formula>
    </cfRule>
    <cfRule type="containsText" dxfId="145" priority="5" operator="containsText" text="ANÁL">
      <formula>NOT(ISERROR(SEARCH("ANÁL",A5)))</formula>
    </cfRule>
    <cfRule type="containsText" dxfId="144" priority="6" operator="containsText" text="CANC.">
      <formula>NOT(ISERROR(SEARCH("CANC.",A5)))</formula>
    </cfRule>
    <cfRule type="containsText" dxfId="143" priority="7" operator="containsText" text="APRO.">
      <formula>NOT(ISERROR(SEARCH("APRO.",A5)))</formula>
    </cfRule>
  </conditionalFormatting>
  <conditionalFormatting sqref="L5:L15">
    <cfRule type="expression" dxfId="142" priority="8">
      <formula>(ABS((L5-H5))/H5)&gt;Sinalizador_Porcentagem</formula>
    </cfRule>
  </conditionalFormatting>
  <dataValidations count="15">
    <dataValidation allowBlank="1" showInputMessage="1" showErrorMessage="1" prompt="Insira anotações para os projetos nesta coluna" sqref="M4:N4" xr:uid="{5CF62102-1F29-477E-B723-3B8359F1A4B8}"/>
    <dataValidation allowBlank="1" showInputMessage="1" showErrorMessage="1" prompt="Insira a duração real de projeto em dias. Valores que atendem aos critérios Acima/Abaixo são destacados em negrito vermelho e geram um ícone de sinalizador na coluna M à esquerda" sqref="L4" xr:uid="{4FDC7BFD-4607-426F-8E35-69741B343911}"/>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C1E20658-9DC2-42BA-B0AA-F7D866A2AED9}"/>
    <dataValidation allowBlank="1" showInputMessage="1" showErrorMessage="1" prompt="Insira a data de término real do projeto nesta coluna" sqref="J4" xr:uid="{09F03BF2-C710-423B-AFE0-32174E5116FD}"/>
    <dataValidation allowBlank="1" showInputMessage="1" showErrorMessage="1" prompt="Insira a data de início real do projeto nesta coluna" sqref="I4" xr:uid="{BADAB0FA-8B23-4647-9886-49E7909F5EA2}"/>
    <dataValidation allowBlank="1" showInputMessage="1" showErrorMessage="1" prompt="Insira a duração estimada do projeto em dias nesta coluna" sqref="H4" xr:uid="{72C0BFE5-4E93-4356-95E4-2D4A03DC0940}"/>
    <dataValidation allowBlank="1" showInputMessage="1" showErrorMessage="1" prompt="Insira a data de término estimada do projeto nesta coluna" sqref="G4" xr:uid="{3549E362-0901-4E4B-9F8C-C611D3477F56}"/>
    <dataValidation allowBlank="1" showInputMessage="1" showErrorMessage="1" prompt="Insira a data de início estimada do projeto nesta coluna" sqref="F4" xr:uid="{B6E75EBC-2C5B-4F33-AD4C-C1A8760A556A}"/>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38B06AD2-0594-429A-94C9-7DEF4FB7E5EF}"/>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01B4E8D0-4282-4D0B-9864-9E1B58DEC60D}"/>
    <dataValidation allowBlank="1" showInputMessage="1" showErrorMessage="1" prompt="Insira os nomes de projetos nesta coluna" sqref="A4:C4" xr:uid="{DBC72A91-1CF4-4A8F-B53F-03E392CCE342}"/>
    <dataValidation type="list" allowBlank="1" showInputMessage="1" showErrorMessage="1" error="Selecione um funcionário na lista ou crie um novo funcionário para exibir nesta lista da planilha Configuração." sqref="E5:E15" xr:uid="{E6503AB0-A8BA-4661-8FF1-1CBACB2E22AE}">
      <formula1>Funcionário_Lista</formula1>
    </dataValidation>
    <dataValidation type="list" allowBlank="1" showInputMessage="1" showErrorMessage="1" error="Selecione uma categoria na lista ou crie uma nova categoria para exibir nesta lista da planilha Configuração." sqref="D5:D15" xr:uid="{7B421AF0-5F73-461A-B8E0-E469ABBAD05E}">
      <formula1>Categoria_Lista</formula1>
    </dataValidation>
    <dataValidation allowBlank="1" showInputMessage="1" showErrorMessage="1" prompt="Porcentagem acima/abaixo personalizáveis usadas para realçar o trabalho real em horas e dias na tabela de projetos que excedam ou fiquem abaixo deste número" sqref="D2" xr:uid="{607A7ED3-BB0B-43EF-8F88-E4EC27BDF1C3}"/>
    <dataValidation type="list" allowBlank="1" showInputMessage="1" showErrorMessage="1" sqref="A5:A7" xr:uid="{2419AFEA-8B3C-4D02-9A1E-7C41F37B543F}">
      <formula1>"APRO, ANÁL, CANC,"</formula1>
    </dataValidation>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EECDFA76-ACE8-4636-95F0-B2A954F4F52C}">
            <x14:iconSet custom="1">
              <x14:cfvo type="percent">
                <xm:f>0</xm:f>
              </x14:cfvo>
              <x14:cfvo type="num">
                <xm:f>0</xm:f>
              </x14:cfvo>
              <x14:cfvo type="num">
                <xm:f>1</xm:f>
              </x14:cfvo>
              <x14:cfIcon iconSet="NoIcons" iconId="0"/>
              <x14:cfIcon iconSet="NoIcons" iconId="0"/>
              <x14:cfIcon iconSet="3Flags" iconId="0"/>
            </x14:iconSet>
          </x14:cfRule>
          <xm:sqref>K5:K15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F5A0-C997-4B0E-91D8-BD35BDFDE243}">
  <sheetPr>
    <tabColor theme="8"/>
    <pageSetUpPr autoPageBreaks="0" fitToPage="1"/>
  </sheetPr>
  <dimension ref="A1:N14"/>
  <sheetViews>
    <sheetView showGridLines="0" zoomScale="110" zoomScaleNormal="110" workbookViewId="0">
      <pane ySplit="4" topLeftCell="A5" activePane="bottomLeft" state="frozen"/>
      <selection pane="bottomLeft" sqref="A1:F1"/>
    </sheetView>
  </sheetViews>
  <sheetFormatPr defaultColWidth="9" defaultRowHeight="30" customHeight="1"/>
  <cols>
    <col min="1" max="1" width="23.5" style="31" customWidth="1"/>
    <col min="2" max="2" width="23.75" customWidth="1"/>
    <col min="3" max="3" width="20.625" customWidth="1"/>
    <col min="4" max="4" width="16.625" customWidth="1"/>
    <col min="5" max="5" width="13.75" style="1" customWidth="1"/>
    <col min="6" max="6" width="14.375" style="1" customWidth="1"/>
    <col min="7" max="7" width="14.75" customWidth="1"/>
    <col min="8" max="8" width="18.5" style="34" customWidth="1"/>
    <col min="9" max="9" width="14.875" style="1" customWidth="1"/>
    <col min="10" max="10" width="14.625" style="1" customWidth="1"/>
    <col min="11" max="11" width="13.625" customWidth="1"/>
    <col min="12" max="12" width="28.25" customWidth="1"/>
    <col min="13" max="13" width="24" customWidth="1"/>
    <col min="14" max="14" width="25.625" customWidth="1"/>
    <col min="15" max="15" width="2.625" customWidth="1"/>
  </cols>
  <sheetData>
    <row r="1" spans="1:14" ht="65.099999999999994" customHeight="1">
      <c r="A1" s="131" t="s">
        <v>228</v>
      </c>
      <c r="B1" s="131"/>
      <c r="C1" s="131"/>
      <c r="D1" s="131"/>
      <c r="E1" s="131"/>
      <c r="F1" s="131"/>
      <c r="G1" s="1"/>
      <c r="H1" s="34" t="s">
        <v>229</v>
      </c>
      <c r="I1" s="130"/>
      <c r="J1" s="130"/>
      <c r="K1" s="130"/>
      <c r="L1" s="130"/>
      <c r="M1" s="130"/>
      <c r="N1" s="130"/>
    </row>
    <row r="2" spans="1:14" ht="20.25" customHeight="1">
      <c r="A2" s="48"/>
      <c r="B2" s="4"/>
      <c r="C2" s="3" t="s">
        <v>26</v>
      </c>
      <c r="D2" s="20"/>
      <c r="G2" t="s">
        <v>230</v>
      </c>
      <c r="H2" s="34" t="s">
        <v>231</v>
      </c>
      <c r="I2" s="130"/>
      <c r="J2" s="130"/>
      <c r="K2" s="130"/>
      <c r="L2" s="130"/>
      <c r="M2" s="130"/>
      <c r="N2" s="130"/>
    </row>
    <row r="3" spans="1:14" ht="20.25" customHeight="1">
      <c r="I3" s="130"/>
      <c r="J3" s="130"/>
      <c r="K3" s="130"/>
      <c r="L3" s="130"/>
      <c r="M3" s="130"/>
      <c r="N3" s="130"/>
    </row>
    <row r="4" spans="1:14" ht="54.95" customHeight="1">
      <c r="A4" s="35" t="s">
        <v>126</v>
      </c>
      <c r="B4" s="15" t="s">
        <v>221</v>
      </c>
      <c r="C4" s="15" t="s">
        <v>29</v>
      </c>
      <c r="D4" s="15" t="s">
        <v>1</v>
      </c>
      <c r="E4" s="15" t="s">
        <v>30</v>
      </c>
      <c r="F4" s="16" t="s">
        <v>31</v>
      </c>
      <c r="G4" s="16" t="s">
        <v>32</v>
      </c>
      <c r="H4" s="29" t="s">
        <v>33</v>
      </c>
      <c r="I4" s="18" t="s">
        <v>34</v>
      </c>
      <c r="J4" s="16" t="s">
        <v>35</v>
      </c>
      <c r="K4" s="23" t="s">
        <v>36</v>
      </c>
      <c r="L4" s="19" t="s">
        <v>37</v>
      </c>
      <c r="M4" s="15" t="s">
        <v>38</v>
      </c>
      <c r="N4" s="15" t="s">
        <v>39</v>
      </c>
    </row>
    <row r="5" spans="1:14" ht="49.5">
      <c r="A5" s="52" t="s">
        <v>40</v>
      </c>
      <c r="B5" s="6" t="s">
        <v>232</v>
      </c>
      <c r="C5" s="6" t="s">
        <v>233</v>
      </c>
      <c r="D5" s="6" t="s">
        <v>4</v>
      </c>
      <c r="E5" s="6" t="s">
        <v>97</v>
      </c>
      <c r="F5" s="7">
        <v>45940</v>
      </c>
      <c r="G5" s="7">
        <v>45971</v>
      </c>
      <c r="H5" s="44">
        <f>IF(COUNTA('Prot. CVEL - Bella Citta'!$F5,'Prot. CVEL - Bella Citta'!$G5)&lt;&gt;2,"",DAYS360('Prot. CVEL - Bella Citta'!$F5,'Prot. CVEL - Bella Citta'!$G5,FALSE))</f>
        <v>30</v>
      </c>
      <c r="I5" s="8">
        <v>45940</v>
      </c>
      <c r="J5" s="7"/>
      <c r="K5" s="14"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5" s="9" t="str">
        <f>IF(COUNTA('Prot. CVEL - Bella Citta'!$I5,'Prot. CVEL - Bella Citta'!$J5)&lt;&gt;2,"",DAYS360('Prot. CVEL - Bella Citta'!$I5,'Prot. CVEL - Bella Citta'!$J5,FALSE))</f>
        <v/>
      </c>
      <c r="M5" s="6"/>
      <c r="N5" s="6" t="s">
        <v>234</v>
      </c>
    </row>
    <row r="6" spans="1:14" ht="33">
      <c r="A6" s="52" t="s">
        <v>88</v>
      </c>
      <c r="B6" s="6" t="s">
        <v>235</v>
      </c>
      <c r="C6" s="6" t="s">
        <v>46</v>
      </c>
      <c r="D6" s="6"/>
      <c r="E6" s="6" t="s">
        <v>13</v>
      </c>
      <c r="F6" s="7"/>
      <c r="G6" s="7"/>
      <c r="H6" s="44" t="str">
        <f>IF(COUNTA('Prot. CVEL - Bella Citta'!$F6,'Prot. CVEL - Bella Citta'!$G6)&lt;&gt;2,"",DAYS360('Prot. CVEL - Bella Citta'!$F6,'Prot. CVEL - Bella Citta'!$G6,FALSE))</f>
        <v/>
      </c>
      <c r="I6" s="8"/>
      <c r="J6" s="7"/>
      <c r="K6" s="14"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6" s="9" t="str">
        <f>IF(COUNTA('Prot. CVEL - Bella Citta'!$I6,'Prot. CVEL - Bella Citta'!$J6)&lt;&gt;2,"",DAYS360('Prot. CVEL - Bella Citta'!$I6,'Prot. CVEL - Bella Citta'!$J6,FALSE))</f>
        <v/>
      </c>
      <c r="M6" s="6"/>
      <c r="N6" s="6" t="s">
        <v>236</v>
      </c>
    </row>
    <row r="7" spans="1:14" ht="16.5">
      <c r="A7" s="39"/>
      <c r="B7" s="6"/>
      <c r="C7" s="6"/>
      <c r="D7" s="6"/>
      <c r="E7" s="6"/>
      <c r="F7" s="7"/>
      <c r="G7" s="7"/>
      <c r="H7" s="44" t="str">
        <f>IF(COUNTA('Prot. CVEL - Bella Citta'!$F7,'Prot. CVEL - Bella Citta'!$G7)&lt;&gt;2,"",DAYS360('Prot. CVEL - Bella Citta'!$F7,'Prot. CVEL - Bella Citta'!$G7,FALSE))</f>
        <v/>
      </c>
      <c r="I7" s="8"/>
      <c r="J7" s="7"/>
      <c r="K7" s="14"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7" s="9" t="str">
        <f>IF(COUNTA('Prot. CVEL - Bella Citta'!$I7,'Prot. CVEL - Bella Citta'!$J7)&lt;&gt;2,"",DAYS360('Prot. CVEL - Bella Citta'!$I7,'Prot. CVEL - Bella Citta'!$J7,FALSE))</f>
        <v/>
      </c>
      <c r="M7" s="6"/>
      <c r="N7" s="6"/>
    </row>
    <row r="8" spans="1:14" ht="16.5">
      <c r="A8" s="39"/>
      <c r="B8" s="6"/>
      <c r="C8" s="6"/>
      <c r="D8" s="6"/>
      <c r="E8" s="67"/>
      <c r="F8" s="7"/>
      <c r="G8" s="7"/>
      <c r="H8" s="44" t="str">
        <f>IF(COUNTA('Prot. CVEL - Bella Citta'!$F8,'Prot. CVEL - Bella Citta'!$G8)&lt;&gt;2,"",DAYS360('Prot. CVEL - Bella Citta'!$F8,'Prot. CVEL - Bella Citta'!$G8,FALSE))</f>
        <v/>
      </c>
      <c r="I8" s="8"/>
      <c r="J8" s="7"/>
      <c r="K8" s="14"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8" s="9" t="str">
        <f>IF(COUNTA('Prot. CVEL - Bella Citta'!$I8,'Prot. CVEL - Bella Citta'!$J8)&lt;&gt;2,"",DAYS360('Prot. CVEL - Bella Citta'!$I8,'Prot. CVEL - Bella Citta'!$J8,FALSE))</f>
        <v/>
      </c>
      <c r="M8" s="6"/>
      <c r="N8" s="6"/>
    </row>
    <row r="9" spans="1:14" ht="16.5">
      <c r="A9" s="39"/>
      <c r="B9" s="6"/>
      <c r="C9" s="6"/>
      <c r="D9" s="6"/>
      <c r="E9" s="68"/>
      <c r="F9" s="7"/>
      <c r="G9" s="7"/>
      <c r="H9" s="44" t="str">
        <f>IF(COUNTA('Prot. CVEL - Bella Citta'!$F9,'Prot. CVEL - Bella Citta'!$G9)&lt;&gt;2,"",DAYS360('Prot. CVEL - Bella Citta'!$F9,'Prot. CVEL - Bella Citta'!$G9,FALSE))</f>
        <v/>
      </c>
      <c r="I9" s="8"/>
      <c r="J9" s="7"/>
      <c r="K9" s="14"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9" s="9" t="str">
        <f>IF(COUNTA('Prot. CVEL - Bella Citta'!$I9,'Prot. CVEL - Bella Citta'!$J9)&lt;&gt;2,"",DAYS360('Prot. CVEL - Bella Citta'!$I9,'Prot. CVEL - Bella Citta'!$J9,FALSE))</f>
        <v/>
      </c>
      <c r="M9" s="26"/>
      <c r="N9" s="6"/>
    </row>
    <row r="10" spans="1:14" ht="16.5">
      <c r="A10" s="39"/>
      <c r="B10" s="6"/>
      <c r="C10" s="6"/>
      <c r="D10" s="6"/>
      <c r="E10" s="6"/>
      <c r="F10" s="7"/>
      <c r="G10" s="7"/>
      <c r="H10" s="44" t="str">
        <f>IF(COUNTA('Prot. CVEL - Bella Citta'!$F10,'Prot. CVEL - Bella Citta'!$G10)&lt;&gt;2,"",DAYS360('Prot. CVEL - Bella Citta'!$F10,'Prot. CVEL - Bella Citta'!$G10,FALSE))</f>
        <v/>
      </c>
      <c r="I10" s="8"/>
      <c r="J10" s="7"/>
      <c r="K10" s="14"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10" s="9" t="str">
        <f>IF(COUNTA('Prot. CVEL - Bella Citta'!$I10,'Prot. CVEL - Bella Citta'!$J10)&lt;&gt;2,"",DAYS360('Prot. CVEL - Bella Citta'!$I10,'Prot. CVEL - Bella Citta'!$J10,FALSE))</f>
        <v/>
      </c>
      <c r="M10" s="6"/>
      <c r="N10" s="6"/>
    </row>
    <row r="11" spans="1:14" ht="16.5">
      <c r="A11" s="40"/>
      <c r="B11" s="10"/>
      <c r="C11" s="10"/>
      <c r="D11" s="10"/>
      <c r="E11" s="6"/>
      <c r="F11" s="11"/>
      <c r="G11" s="11"/>
      <c r="H11" s="44" t="str">
        <f>IF(COUNTA('Prot. CVEL - Bella Citta'!$F11,'Prot. CVEL - Bella Citta'!$G11)&lt;&gt;2,"",DAYS360('Prot. CVEL - Bella Citta'!$F11,'Prot. CVEL - Bella Citta'!$G11,FALSE))</f>
        <v/>
      </c>
      <c r="I11" s="8"/>
      <c r="J11" s="11"/>
      <c r="K11" s="14"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11" s="12" t="str">
        <f>IF(COUNTA('Prot. CVEL - Bella Citta'!$I11,'Prot. CVEL - Bella Citta'!$J11)&lt;&gt;2,"",DAYS360('Prot. CVEL - Bella Citta'!$I11,'Prot. CVEL - Bella Citta'!$J11,FALSE))</f>
        <v/>
      </c>
      <c r="M11" s="10"/>
      <c r="N11" s="10"/>
    </row>
    <row r="12" spans="1:14" ht="16.5">
      <c r="A12" s="40"/>
      <c r="B12" s="10"/>
      <c r="C12" s="10"/>
      <c r="D12" s="10"/>
      <c r="E12" s="6"/>
      <c r="F12" s="11"/>
      <c r="G12" s="11"/>
      <c r="H12" s="44" t="str">
        <f>IF(COUNTA('Prot. CVEL - Bella Citta'!$F12,'Prot. CVEL - Bella Citta'!$G12)&lt;&gt;2,"",DAYS360('Prot. CVEL - Bella Citta'!$F12,'Prot. CVEL - Bella Citta'!$G12,FALSE))</f>
        <v/>
      </c>
      <c r="I12" s="8"/>
      <c r="J12" s="11"/>
      <c r="K12" s="14"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12" s="12" t="str">
        <f>IF(COUNTA('Prot. CVEL - Bella Citta'!$I12,'Prot. CVEL - Bella Citta'!$J12)&lt;&gt;2,"",DAYS360('Prot. CVEL - Bella Citta'!$I12,'Prot. CVEL - Bella Citta'!$J12,FALSE))</f>
        <v/>
      </c>
      <c r="M12" s="10"/>
      <c r="N12" s="10"/>
    </row>
    <row r="13" spans="1:14" ht="16.5">
      <c r="A13" s="41"/>
      <c r="B13" s="5"/>
      <c r="C13" s="5"/>
      <c r="D13" s="5"/>
      <c r="E13" s="5"/>
      <c r="F13" s="11"/>
      <c r="G13" s="11"/>
      <c r="H13" s="44" t="str">
        <f>IF(COUNTA('Prot. CVEL - Bella Citta'!$F13,'Prot. CVEL - Bella Citta'!$G13)&lt;&gt;2,"",DAYS360('Prot. CVEL - Bella Citta'!$F13,'Prot. CVEL - Bella Citta'!$G13,FALSE))</f>
        <v/>
      </c>
      <c r="I13" s="8"/>
      <c r="J13" s="11"/>
      <c r="K13" s="14"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13" s="12" t="str">
        <f>IF(COUNTA('Prot. CVEL - Bella Citta'!$I13,'Prot. CVEL - Bella Citta'!$J13)&lt;&gt;2,"",DAYS360('Prot. CVEL - Bella Citta'!$I13,'Prot. CVEL - Bella Citta'!$J13,FALSE))</f>
        <v/>
      </c>
      <c r="M13" s="5"/>
      <c r="N13" s="5"/>
    </row>
    <row r="14" spans="1:14" ht="30" customHeight="1">
      <c r="A14" s="104"/>
      <c r="B14" s="5"/>
      <c r="C14" s="5"/>
      <c r="D14" s="5"/>
      <c r="E14" s="10"/>
      <c r="F14" s="11"/>
      <c r="G14" s="103"/>
      <c r="H14" s="44" t="str">
        <f>IF(COUNTA('Prot. CVEL - Bella Citta'!$F14,'Prot. CVEL - Bella Citta'!$G14)&lt;&gt;2,"",DAYS360('Prot. CVEL - Bella Citta'!$F14,'Prot. CVEL - Bella Citta'!$G14,FALSE))</f>
        <v/>
      </c>
      <c r="I14" s="8"/>
      <c r="J14" s="11"/>
      <c r="K14" s="14" t="str">
        <f>IFERROR(IF(ControladorDeProjetos367314[[#This Row],[Duração Real (em dias)]]=0,"",IF(ABS((ControladorDeProjetos367314[[#This Row],[Duração Real (em dias)]]-ControladorDeProjetos367314[[#This Row],[Duração Estimada (em dias)]])/ControladorDeProjetos367314[[#This Row],[Duração Estimada (em dias)]])&gt;Sinalizador_Porcentagem,1,0)),"")</f>
        <v/>
      </c>
      <c r="L14" s="12" t="str">
        <f>IF(COUNTA('Prot. CVEL - Bella Citta'!$I14,'Prot. CVEL - Bella Citta'!$J14)&lt;&gt;2,"",DAYS360('Prot. CVEL - Bella Citta'!$I14,'Prot. CVEL - Bella Citta'!$J14,FALSE))</f>
        <v/>
      </c>
      <c r="M14" s="5"/>
      <c r="N14" s="5"/>
    </row>
  </sheetData>
  <mergeCells count="2">
    <mergeCell ref="A1:F1"/>
    <mergeCell ref="I1:N3"/>
  </mergeCells>
  <conditionalFormatting sqref="A5:A6">
    <cfRule type="containsText" dxfId="134" priority="1" operator="containsText" text="ANÁLISE">
      <formula>NOT(ISERROR(SEARCH("ANÁLISE",A5)))</formula>
    </cfRule>
    <cfRule type="containsText" dxfId="133" priority="2" operator="containsText" text="ANÁL">
      <formula>NOT(ISERROR(SEARCH("ANÁL",A5)))</formula>
    </cfRule>
    <cfRule type="containsText" dxfId="132" priority="3" operator="containsText" text="CANC">
      <formula>NOT(ISERROR(SEARCH("CANC",A5)))</formula>
    </cfRule>
    <cfRule type="containsText" dxfId="131" priority="4" operator="containsText" text="APRO">
      <formula>NOT(ISERROR(SEARCH("APRO",A5)))</formula>
    </cfRule>
    <cfRule type="containsText" dxfId="130" priority="5" operator="containsText" text="ANÁL">
      <formula>NOT(ISERROR(SEARCH("ANÁL",A5)))</formula>
    </cfRule>
    <cfRule type="containsText" dxfId="129" priority="6" operator="containsText" text="CANC.">
      <formula>NOT(ISERROR(SEARCH("CANC.",A5)))</formula>
    </cfRule>
    <cfRule type="containsText" dxfId="128" priority="7" operator="containsText" text="APRO.">
      <formula>NOT(ISERROR(SEARCH("APRO.",A5)))</formula>
    </cfRule>
  </conditionalFormatting>
  <conditionalFormatting sqref="L5:L14">
    <cfRule type="expression" dxfId="127" priority="8">
      <formula>(ABS((L5-H5))/H5)&gt;Sinalizador_Porcentagem</formula>
    </cfRule>
  </conditionalFormatting>
  <dataValidations count="15">
    <dataValidation allowBlank="1" showInputMessage="1" showErrorMessage="1" prompt="Insira anotações para os projetos nesta coluna" sqref="M4:N4" xr:uid="{8EC8E335-2757-4F7D-B899-696892D3701B}"/>
    <dataValidation allowBlank="1" showInputMessage="1" showErrorMessage="1" prompt="Insira a duração real de projeto em dias. Valores que atendem aos critérios Acima/Abaixo são destacados em negrito vermelho e geram um ícone de sinalizador na coluna M à esquerda" sqref="L4" xr:uid="{EAF6AA88-5735-4182-8A98-EA69BBE39F56}"/>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C4683AE9-7EBB-4910-8EA2-60A8DA853083}"/>
    <dataValidation allowBlank="1" showInputMessage="1" showErrorMessage="1" prompt="Insira a data de término real do projeto nesta coluna" sqref="J4" xr:uid="{EAD87600-7DA8-44A2-AD37-7D3E525E5929}"/>
    <dataValidation allowBlank="1" showInputMessage="1" showErrorMessage="1" prompt="Insira a data de início real do projeto nesta coluna" sqref="I4" xr:uid="{8E34A43C-37FC-42DB-9724-2E052E118B51}"/>
    <dataValidation allowBlank="1" showInputMessage="1" showErrorMessage="1" prompt="Insira a duração estimada do projeto em dias nesta coluna" sqref="H4" xr:uid="{8A9B6866-5AFB-4AB7-99FD-1D364CAF94A4}"/>
    <dataValidation allowBlank="1" showInputMessage="1" showErrorMessage="1" prompt="Insira a data de término estimada do projeto nesta coluna" sqref="G4" xr:uid="{F7FB7B13-01EE-4013-8D76-EA99D8F66A16}"/>
    <dataValidation allowBlank="1" showInputMessage="1" showErrorMessage="1" prompt="Insira a data de início estimada do projeto nesta coluna" sqref="F4" xr:uid="{0A8CE496-D8BC-4FF1-8956-11A2FBA1293D}"/>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8BFB0E2B-A192-4FCD-BAFE-8E1E778A86AC}"/>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24CA9F8C-59CE-48C6-898C-FB93D420A254}"/>
    <dataValidation allowBlank="1" showInputMessage="1" showErrorMessage="1" prompt="Insira os nomes de projetos nesta coluna" sqref="A4:C4" xr:uid="{D5C29896-0A78-43ED-AEB7-512C87BA22A2}"/>
    <dataValidation allowBlank="1" showInputMessage="1" showErrorMessage="1" prompt="Porcentagem acima/abaixo personalizáveis usadas para realçar o trabalho real em horas e dias na tabela de projetos que excedam ou fiquem abaixo deste número" sqref="D2" xr:uid="{81921B8F-C6FE-40AB-B395-5617DC1B7CF1}"/>
    <dataValidation type="list" allowBlank="1" showInputMessage="1" showErrorMessage="1" sqref="A5:A6" xr:uid="{59B4502C-A3A8-41CE-A050-379188B9D84C}">
      <formula1>"APRO, ANÁL, CANC,"</formula1>
    </dataValidation>
    <dataValidation type="list" allowBlank="1" showInputMessage="1" showErrorMessage="1" error="Selecione um funcionário na lista ou crie um novo funcionário para exibir nesta lista da planilha Configuração." sqref="E5:E14" xr:uid="{14C79A57-C40A-4625-A3D2-127E4B114508}">
      <formula1>Funcionário_Lista</formula1>
    </dataValidation>
    <dataValidation type="list" allowBlank="1" showInputMessage="1" showErrorMessage="1" error="Selecione uma categoria na lista ou crie uma nova categoria para exibir nesta lista da planilha Configuração." sqref="D5:D14" xr:uid="{5E2AD005-A988-4F15-8F67-F8EA8ED3F6D4}">
      <formula1>Categoria_Lista</formula1>
    </dataValidation>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6" id="{6BCFDF59-7C8E-4B7B-9F96-E6D6B9700D01}">
            <x14:iconSet custom="1">
              <x14:cfvo type="percent">
                <xm:f>0</xm:f>
              </x14:cfvo>
              <x14:cfvo type="num">
                <xm:f>0</xm:f>
              </x14:cfvo>
              <x14:cfvo type="num">
                <xm:f>1</xm:f>
              </x14:cfvo>
              <x14:cfIcon iconSet="NoIcons" iconId="0"/>
              <x14:cfIcon iconSet="NoIcons" iconId="0"/>
              <x14:cfIcon iconSet="3Flags" iconId="0"/>
            </x14:iconSet>
          </x14:cfRule>
          <xm:sqref>K5:K14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78C83-A861-4363-8717-72F4AC11C1E4}">
  <sheetPr>
    <tabColor theme="8"/>
    <pageSetUpPr autoPageBreaks="0" fitToPage="1"/>
  </sheetPr>
  <dimension ref="A1:N15"/>
  <sheetViews>
    <sheetView showGridLines="0" zoomScale="110" zoomScaleNormal="110" workbookViewId="0">
      <pane ySplit="4" topLeftCell="A5" activePane="bottomLeft" state="frozen"/>
      <selection pane="bottomLeft" activeCell="B6" sqref="B6"/>
    </sheetView>
  </sheetViews>
  <sheetFormatPr defaultColWidth="9" defaultRowHeight="30" customHeight="1"/>
  <cols>
    <col min="1" max="1" width="23.5" style="31" customWidth="1"/>
    <col min="2" max="2" width="23.75" style="55" customWidth="1"/>
    <col min="3" max="3" width="20.625" customWidth="1"/>
    <col min="4" max="4" width="16.625" customWidth="1"/>
    <col min="5" max="5" width="13.75" style="1" customWidth="1"/>
    <col min="6" max="6" width="14.375" style="1" customWidth="1"/>
    <col min="7" max="7" width="14.75" customWidth="1"/>
    <col min="8" max="8" width="18.5" style="34" customWidth="1"/>
    <col min="9" max="9" width="14.875" style="1" customWidth="1"/>
    <col min="10" max="10" width="14.625" style="1" customWidth="1"/>
    <col min="11" max="11" width="13.625" customWidth="1"/>
    <col min="12" max="12" width="28.25" customWidth="1"/>
    <col min="13" max="13" width="24" customWidth="1"/>
    <col min="14" max="14" width="25.625" customWidth="1"/>
    <col min="15" max="15" width="2.625" customWidth="1"/>
  </cols>
  <sheetData>
    <row r="1" spans="1:14" ht="65.099999999999994" customHeight="1">
      <c r="A1" s="131" t="s">
        <v>237</v>
      </c>
      <c r="B1" s="131"/>
      <c r="C1" s="131"/>
      <c r="D1" s="131"/>
      <c r="E1" s="131"/>
      <c r="F1" s="131"/>
      <c r="G1" s="1" t="s">
        <v>219</v>
      </c>
      <c r="H1" s="34" t="s">
        <v>220</v>
      </c>
      <c r="I1" s="130"/>
      <c r="J1" s="130"/>
      <c r="K1" s="130"/>
      <c r="L1" s="130"/>
      <c r="M1" s="130"/>
      <c r="N1" s="130"/>
    </row>
    <row r="2" spans="1:14" ht="20.25" customHeight="1">
      <c r="A2" s="48"/>
      <c r="B2" s="54"/>
      <c r="C2" s="3" t="s">
        <v>26</v>
      </c>
      <c r="D2" s="20"/>
      <c r="G2" t="s">
        <v>238</v>
      </c>
      <c r="H2" s="34" t="s">
        <v>239</v>
      </c>
      <c r="I2" s="130"/>
      <c r="J2" s="130"/>
      <c r="K2" s="130"/>
      <c r="L2" s="130"/>
      <c r="M2" s="130"/>
      <c r="N2" s="130"/>
    </row>
    <row r="3" spans="1:14" ht="20.25" customHeight="1">
      <c r="I3" s="130"/>
      <c r="J3" s="130"/>
      <c r="K3" s="130"/>
      <c r="L3" s="130"/>
      <c r="M3" s="130"/>
      <c r="N3" s="130"/>
    </row>
    <row r="4" spans="1:14" ht="54.95" customHeight="1">
      <c r="A4" s="35" t="s">
        <v>126</v>
      </c>
      <c r="B4" s="15" t="s">
        <v>221</v>
      </c>
      <c r="C4" s="15" t="s">
        <v>29</v>
      </c>
      <c r="D4" s="15" t="s">
        <v>1</v>
      </c>
      <c r="E4" s="15" t="s">
        <v>30</v>
      </c>
      <c r="F4" s="16" t="s">
        <v>31</v>
      </c>
      <c r="G4" s="16" t="s">
        <v>32</v>
      </c>
      <c r="H4" s="29" t="s">
        <v>33</v>
      </c>
      <c r="I4" s="18" t="s">
        <v>34</v>
      </c>
      <c r="J4" s="16" t="s">
        <v>35</v>
      </c>
      <c r="K4" s="23" t="s">
        <v>36</v>
      </c>
      <c r="L4" s="19" t="s">
        <v>37</v>
      </c>
      <c r="M4" s="15" t="s">
        <v>38</v>
      </c>
      <c r="N4" s="15" t="s">
        <v>39</v>
      </c>
    </row>
    <row r="5" spans="1:14" ht="33">
      <c r="A5" s="52" t="s">
        <v>40</v>
      </c>
      <c r="B5" s="6" t="s">
        <v>240</v>
      </c>
      <c r="C5" s="6" t="s">
        <v>214</v>
      </c>
      <c r="D5" s="6" t="s">
        <v>4</v>
      </c>
      <c r="E5" s="6" t="s">
        <v>97</v>
      </c>
      <c r="F5" s="7">
        <v>45854</v>
      </c>
      <c r="G5" s="7">
        <v>45885</v>
      </c>
      <c r="H5" s="44">
        <f>IF(COUNTA('Prot. TLD - Solar de Verona'!$F5,'Prot. TLD - Solar de Verona'!$G5)&lt;&gt;2,"",DAYS360('Prot. TLD - Solar de Verona'!$F5,'Prot. TLD - Solar de Verona'!$G5,FALSE))</f>
        <v>30</v>
      </c>
      <c r="I5" s="8"/>
      <c r="J5" s="7"/>
      <c r="K5" s="14" t="str">
        <f>IFERROR(IF(ControladorDeProjetos3673[[#This Row],[Duração Real (em dias)]]=0,"",IF(ABS((ControladorDeProjetos3673[[#This Row],[Duração Real (em dias)]]-ControladorDeProjetos3673[[#This Row],[Duração Estimada (em dias)]])/ControladorDeProjetos3673[[#This Row],[Duração Estimada (em dias)]])&gt;Sinalizador_Porcentagem,1,0)),"")</f>
        <v/>
      </c>
      <c r="L5" s="9" t="str">
        <f>IF(COUNTA('Prot. TLD - Solar de Verona'!$I5,'Prot. TLD - Solar de Verona'!$J5)&lt;&gt;2,"",DAYS360('Prot. TLD - Solar de Verona'!$I5,'Prot. TLD - Solar de Verona'!$J5,FALSE))</f>
        <v/>
      </c>
      <c r="M5" s="6" t="s">
        <v>241</v>
      </c>
      <c r="N5" s="6" t="s">
        <v>234</v>
      </c>
    </row>
    <row r="6" spans="1:14" ht="33">
      <c r="A6" s="52" t="s">
        <v>88</v>
      </c>
      <c r="B6" s="6" t="s">
        <v>242</v>
      </c>
      <c r="C6" s="6" t="s">
        <v>46</v>
      </c>
      <c r="D6" s="6" t="s">
        <v>4</v>
      </c>
      <c r="E6" s="6" t="s">
        <v>5</v>
      </c>
      <c r="F6" s="7">
        <v>45924</v>
      </c>
      <c r="G6" s="7">
        <v>45954</v>
      </c>
      <c r="H6" s="44">
        <f>IF(COUNTA('Prot. TLD - Solar de Verona'!$F6,'Prot. TLD - Solar de Verona'!$G6)&lt;&gt;2,"",DAYS360('Prot. TLD - Solar de Verona'!$F6,'Prot. TLD - Solar de Verona'!$G6,FALSE))</f>
        <v>30</v>
      </c>
      <c r="I6" s="8"/>
      <c r="J6" s="7"/>
      <c r="K6" s="14" t="str">
        <f>IFERROR(IF(ControladorDeProjetos3673[[#This Row],[Duração Real (em dias)]]=0,"",IF(ABS((ControladorDeProjetos3673[[#This Row],[Duração Real (em dias)]]-ControladorDeProjetos3673[[#This Row],[Duração Estimada (em dias)]])/ControladorDeProjetos3673[[#This Row],[Duração Estimada (em dias)]])&gt;Sinalizador_Porcentagem,1,0)),"")</f>
        <v/>
      </c>
      <c r="L6" s="9" t="str">
        <f>IF(COUNTA('Prot. TLD - Solar de Verona'!$I6,'Prot. TLD - Solar de Verona'!$J6)&lt;&gt;2,"",DAYS360('Prot. TLD - Solar de Verona'!$I6,'Prot. TLD - Solar de Verona'!$J6,FALSE))</f>
        <v/>
      </c>
      <c r="M6" s="6"/>
      <c r="N6" s="6" t="s">
        <v>234</v>
      </c>
    </row>
    <row r="7" spans="1:14" ht="49.5">
      <c r="A7" s="52" t="s">
        <v>40</v>
      </c>
      <c r="B7" s="55" t="s">
        <v>243</v>
      </c>
      <c r="C7" s="6" t="s">
        <v>57</v>
      </c>
      <c r="D7" s="6" t="s">
        <v>9</v>
      </c>
      <c r="E7" s="6" t="s">
        <v>13</v>
      </c>
      <c r="F7" s="7">
        <v>45933</v>
      </c>
      <c r="G7" s="7">
        <v>45964</v>
      </c>
      <c r="H7" s="44">
        <f>IF(COUNTA('Prot. TLD - Solar de Verona'!$F7,'Prot. TLD - Solar de Verona'!$G7)&lt;&gt;2,"",DAYS360('Prot. TLD - Solar de Verona'!$F7,'Prot. TLD - Solar de Verona'!$G7,FALSE))</f>
        <v>30</v>
      </c>
      <c r="I7" s="8"/>
      <c r="J7" s="7"/>
      <c r="K7" s="14"/>
      <c r="L7" s="9"/>
      <c r="M7" s="6"/>
      <c r="N7" s="6" t="s">
        <v>234</v>
      </c>
    </row>
    <row r="8" spans="1:14" ht="33">
      <c r="A8" s="52" t="s">
        <v>40</v>
      </c>
      <c r="B8" s="129" t="s">
        <v>244</v>
      </c>
      <c r="C8" s="6" t="s">
        <v>245</v>
      </c>
      <c r="D8" s="6" t="s">
        <v>4</v>
      </c>
      <c r="E8" s="6" t="s">
        <v>97</v>
      </c>
      <c r="F8" s="7">
        <v>46113</v>
      </c>
      <c r="G8" s="7">
        <v>46155</v>
      </c>
      <c r="H8" s="44">
        <f>IF(COUNTA('Prot. TLD - Solar de Verona'!$F8,'Prot. TLD - Solar de Verona'!$G8)&lt;&gt;2,"",DAYS360('Prot. TLD - Solar de Verona'!$F8,'Prot. TLD - Solar de Verona'!$G8,FALSE))</f>
        <v>42</v>
      </c>
      <c r="I8" s="8"/>
      <c r="J8" s="7"/>
      <c r="K8" s="14"/>
      <c r="L8" s="9"/>
      <c r="M8" s="6"/>
      <c r="N8" s="6" t="s">
        <v>234</v>
      </c>
    </row>
    <row r="9" spans="1:14" ht="16.5">
      <c r="A9" s="39"/>
      <c r="B9" s="6"/>
      <c r="C9" s="6"/>
      <c r="D9" s="6"/>
      <c r="E9" s="6"/>
      <c r="F9" s="7"/>
      <c r="G9" s="7"/>
      <c r="H9" s="44" t="str">
        <f>IF(COUNTA('Prot. TLD - Solar de Verona'!$F9,'Prot. TLD - Solar de Verona'!$G9)&lt;&gt;2,"",DAYS360('Prot. TLD - Solar de Verona'!$F9,'Prot. TLD - Solar de Verona'!$G9,FALSE))</f>
        <v/>
      </c>
      <c r="I9" s="8"/>
      <c r="J9" s="7"/>
      <c r="K9" s="14" t="str">
        <f>IFERROR(IF(ControladorDeProjetos3673[[#This Row],[Duração Real (em dias)]]=0,"",IF(ABS((ControladorDeProjetos3673[[#This Row],[Duração Real (em dias)]]-ControladorDeProjetos3673[[#This Row],[Duração Estimada (em dias)]])/ControladorDeProjetos3673[[#This Row],[Duração Estimada (em dias)]])&gt;Sinalizador_Porcentagem,1,0)),"")</f>
        <v/>
      </c>
      <c r="L9" s="9" t="str">
        <f>IF(COUNTA('Prot. TLD - Solar de Verona'!$I9,'Prot. TLD - Solar de Verona'!$J9)&lt;&gt;2,"",DAYS360('Prot. TLD - Solar de Verona'!$I9,'Prot. TLD - Solar de Verona'!$J9,FALSE))</f>
        <v/>
      </c>
      <c r="M9" s="6"/>
      <c r="N9" s="6"/>
    </row>
    <row r="10" spans="1:14" ht="16.5">
      <c r="A10" s="39"/>
      <c r="B10" s="6"/>
      <c r="C10" s="6"/>
      <c r="D10" s="6"/>
      <c r="E10" s="67"/>
      <c r="F10" s="7"/>
      <c r="G10" s="7"/>
      <c r="H10" s="44" t="str">
        <f>IF(COUNTA('Prot. TLD - Solar de Verona'!$F10,'Prot. TLD - Solar de Verona'!$G10)&lt;&gt;2,"",DAYS360('Prot. TLD - Solar de Verona'!$F10,'Prot. TLD - Solar de Verona'!$G10,FALSE))</f>
        <v/>
      </c>
      <c r="I10" s="8"/>
      <c r="J10" s="7"/>
      <c r="K10" s="14" t="str">
        <f>IFERROR(IF(ControladorDeProjetos3673[[#This Row],[Duração Real (em dias)]]=0,"",IF(ABS((ControladorDeProjetos3673[[#This Row],[Duração Real (em dias)]]-ControladorDeProjetos3673[[#This Row],[Duração Estimada (em dias)]])/ControladorDeProjetos3673[[#This Row],[Duração Estimada (em dias)]])&gt;Sinalizador_Porcentagem,1,0)),"")</f>
        <v/>
      </c>
      <c r="L10" s="9" t="str">
        <f>IF(COUNTA('Prot. TLD - Solar de Verona'!$I10,'Prot. TLD - Solar de Verona'!$J10)&lt;&gt;2,"",DAYS360('Prot. TLD - Solar de Verona'!$I10,'Prot. TLD - Solar de Verona'!$J10,FALSE))</f>
        <v/>
      </c>
      <c r="M10" s="6"/>
      <c r="N10" s="6"/>
    </row>
    <row r="11" spans="1:14" ht="16.5">
      <c r="A11" s="39"/>
      <c r="B11" s="6"/>
      <c r="C11" s="6"/>
      <c r="D11" s="6"/>
      <c r="E11" s="68"/>
      <c r="F11" s="7"/>
      <c r="G11" s="7"/>
      <c r="H11" s="44" t="str">
        <f>IF(COUNTA('Prot. TLD - Solar de Verona'!$F11,'Prot. TLD - Solar de Verona'!$G11)&lt;&gt;2,"",DAYS360('Prot. TLD - Solar de Verona'!$F11,'Prot. TLD - Solar de Verona'!$G11,FALSE))</f>
        <v/>
      </c>
      <c r="I11" s="8"/>
      <c r="J11" s="7"/>
      <c r="K11" s="14" t="str">
        <f>IFERROR(IF(ControladorDeProjetos3673[[#This Row],[Duração Real (em dias)]]=0,"",IF(ABS((ControladorDeProjetos3673[[#This Row],[Duração Real (em dias)]]-ControladorDeProjetos3673[[#This Row],[Duração Estimada (em dias)]])/ControladorDeProjetos3673[[#This Row],[Duração Estimada (em dias)]])&gt;Sinalizador_Porcentagem,1,0)),"")</f>
        <v/>
      </c>
      <c r="L11" s="9" t="str">
        <f>IF(COUNTA('Prot. TLD - Solar de Verona'!$I11,'Prot. TLD - Solar de Verona'!$J11)&lt;&gt;2,"",DAYS360('Prot. TLD - Solar de Verona'!$I11,'Prot. TLD - Solar de Verona'!$J11,FALSE))</f>
        <v/>
      </c>
      <c r="M11" s="26"/>
      <c r="N11" s="6"/>
    </row>
    <row r="12" spans="1:14" ht="16.5">
      <c r="A12" s="39"/>
      <c r="B12" s="6"/>
      <c r="C12" s="6"/>
      <c r="D12" s="6"/>
      <c r="E12" s="6"/>
      <c r="F12" s="7"/>
      <c r="G12" s="7"/>
      <c r="H12" s="44" t="str">
        <f>IF(COUNTA('Prot. TLD - Solar de Verona'!$F12,'Prot. TLD - Solar de Verona'!$G12)&lt;&gt;2,"",DAYS360('Prot. TLD - Solar de Verona'!$F12,'Prot. TLD - Solar de Verona'!$G12,FALSE))</f>
        <v/>
      </c>
      <c r="I12" s="8"/>
      <c r="J12" s="7"/>
      <c r="K12" s="14" t="str">
        <f>IFERROR(IF(ControladorDeProjetos3673[[#This Row],[Duração Real (em dias)]]=0,"",IF(ABS((ControladorDeProjetos3673[[#This Row],[Duração Real (em dias)]]-ControladorDeProjetos3673[[#This Row],[Duração Estimada (em dias)]])/ControladorDeProjetos3673[[#This Row],[Duração Estimada (em dias)]])&gt;Sinalizador_Porcentagem,1,0)),"")</f>
        <v/>
      </c>
      <c r="L12" s="9" t="str">
        <f>IF(COUNTA('Prot. TLD - Solar de Verona'!$I12,'Prot. TLD - Solar de Verona'!$J12)&lt;&gt;2,"",DAYS360('Prot. TLD - Solar de Verona'!$I12,'Prot. TLD - Solar de Verona'!$J12,FALSE))</f>
        <v/>
      </c>
      <c r="M12" s="6"/>
      <c r="N12" s="6"/>
    </row>
    <row r="13" spans="1:14" ht="16.5">
      <c r="A13" s="40"/>
      <c r="B13" s="10"/>
      <c r="C13" s="10"/>
      <c r="D13" s="10"/>
      <c r="E13" s="6"/>
      <c r="F13" s="11"/>
      <c r="G13" s="11"/>
      <c r="H13" s="44" t="str">
        <f>IF(COUNTA('Prot. TLD - Solar de Verona'!$F13,'Prot. TLD - Solar de Verona'!$G13)&lt;&gt;2,"",DAYS360('Prot. TLD - Solar de Verona'!$F13,'Prot. TLD - Solar de Verona'!$G13,FALSE))</f>
        <v/>
      </c>
      <c r="I13" s="8"/>
      <c r="J13" s="11"/>
      <c r="K13" s="14" t="str">
        <f>IFERROR(IF(ControladorDeProjetos3673[[#This Row],[Duração Real (em dias)]]=0,"",IF(ABS((ControladorDeProjetos3673[[#This Row],[Duração Real (em dias)]]-ControladorDeProjetos3673[[#This Row],[Duração Estimada (em dias)]])/ControladorDeProjetos3673[[#This Row],[Duração Estimada (em dias)]])&gt;Sinalizador_Porcentagem,1,0)),"")</f>
        <v/>
      </c>
      <c r="L13" s="12" t="str">
        <f>IF(COUNTA('Prot. TLD - Solar de Verona'!$I13,'Prot. TLD - Solar de Verona'!$J13)&lt;&gt;2,"",DAYS360('Prot. TLD - Solar de Verona'!$I13,'Prot. TLD - Solar de Verona'!$J13,FALSE))</f>
        <v/>
      </c>
      <c r="M13" s="10"/>
      <c r="N13" s="10"/>
    </row>
    <row r="14" spans="1:14" ht="16.5">
      <c r="A14" s="40"/>
      <c r="B14" s="10"/>
      <c r="C14" s="10"/>
      <c r="D14" s="10"/>
      <c r="E14" s="6"/>
      <c r="F14" s="11"/>
      <c r="G14" s="11"/>
      <c r="H14" s="44" t="str">
        <f>IF(COUNTA('Prot. TLD - Solar de Verona'!$F14,'Prot. TLD - Solar de Verona'!$G14)&lt;&gt;2,"",DAYS360('Prot. TLD - Solar de Verona'!$F14,'Prot. TLD - Solar de Verona'!$G14,FALSE))</f>
        <v/>
      </c>
      <c r="I14" s="8"/>
      <c r="J14" s="11"/>
      <c r="K14" s="14" t="str">
        <f>IFERROR(IF(ControladorDeProjetos3673[[#This Row],[Duração Real (em dias)]]=0,"",IF(ABS((ControladorDeProjetos3673[[#This Row],[Duração Real (em dias)]]-ControladorDeProjetos3673[[#This Row],[Duração Estimada (em dias)]])/ControladorDeProjetos3673[[#This Row],[Duração Estimada (em dias)]])&gt;Sinalizador_Porcentagem,1,0)),"")</f>
        <v/>
      </c>
      <c r="L14" s="12" t="str">
        <f>IF(COUNTA('Prot. TLD - Solar de Verona'!$I14,'Prot. TLD - Solar de Verona'!$J14)&lt;&gt;2,"",DAYS360('Prot. TLD - Solar de Verona'!$I14,'Prot. TLD - Solar de Verona'!$J14,FALSE))</f>
        <v/>
      </c>
      <c r="M14" s="10"/>
      <c r="N14" s="10"/>
    </row>
    <row r="15" spans="1:14" ht="16.5">
      <c r="A15" s="41"/>
      <c r="B15" s="5"/>
      <c r="C15" s="5"/>
      <c r="D15" s="5"/>
      <c r="E15" s="5"/>
      <c r="F15" s="11"/>
      <c r="G15" s="11"/>
      <c r="H15" s="44" t="str">
        <f>IF(COUNTA('Prot. TLD - Solar de Verona'!$F15,'Prot. TLD - Solar de Verona'!$G15)&lt;&gt;2,"",DAYS360('Prot. TLD - Solar de Verona'!$F15,'Prot. TLD - Solar de Verona'!$G15,FALSE))</f>
        <v/>
      </c>
      <c r="I15" s="8"/>
      <c r="J15" s="11"/>
      <c r="K15" s="14" t="str">
        <f>IFERROR(IF(ControladorDeProjetos3673[[#This Row],[Duração Real (em dias)]]=0,"",IF(ABS((ControladorDeProjetos3673[[#This Row],[Duração Real (em dias)]]-ControladorDeProjetos3673[[#This Row],[Duração Estimada (em dias)]])/ControladorDeProjetos3673[[#This Row],[Duração Estimada (em dias)]])&gt;Sinalizador_Porcentagem,1,0)),"")</f>
        <v/>
      </c>
      <c r="L15" s="12" t="str">
        <f>IF(COUNTA('Prot. TLD - Solar de Verona'!$I15,'Prot. TLD - Solar de Verona'!$J15)&lt;&gt;2,"",DAYS360('Prot. TLD - Solar de Verona'!$I15,'Prot. TLD - Solar de Verona'!$J15,FALSE))</f>
        <v/>
      </c>
      <c r="M15" s="5"/>
      <c r="N15" s="5"/>
    </row>
  </sheetData>
  <mergeCells count="2">
    <mergeCell ref="A1:F1"/>
    <mergeCell ref="I1:N3"/>
  </mergeCells>
  <conditionalFormatting sqref="A5:A8">
    <cfRule type="containsText" dxfId="120" priority="1" operator="containsText" text="ANÁLISE">
      <formula>NOT(ISERROR(SEARCH("ANÁLISE",A5)))</formula>
    </cfRule>
    <cfRule type="containsText" dxfId="119" priority="2" operator="containsText" text="ANÁL">
      <formula>NOT(ISERROR(SEARCH("ANÁL",A5)))</formula>
    </cfRule>
    <cfRule type="containsText" dxfId="118" priority="3" operator="containsText" text="CANC">
      <formula>NOT(ISERROR(SEARCH("CANC",A5)))</formula>
    </cfRule>
    <cfRule type="containsText" dxfId="117" priority="4" operator="containsText" text="APRO">
      <formula>NOT(ISERROR(SEARCH("APRO",A5)))</formula>
    </cfRule>
    <cfRule type="containsText" dxfId="116" priority="5" operator="containsText" text="ANÁL">
      <formula>NOT(ISERROR(SEARCH("ANÁL",A5)))</formula>
    </cfRule>
    <cfRule type="containsText" dxfId="115" priority="6" operator="containsText" text="CANC.">
      <formula>NOT(ISERROR(SEARCH("CANC.",A5)))</formula>
    </cfRule>
    <cfRule type="containsText" dxfId="114" priority="7" operator="containsText" text="APRO.">
      <formula>NOT(ISERROR(SEARCH("APRO.",A5)))</formula>
    </cfRule>
  </conditionalFormatting>
  <conditionalFormatting sqref="L5:L15">
    <cfRule type="expression" dxfId="113" priority="8">
      <formula>(ABS((L5-H5))/H5)&gt;Sinalizador_Porcentagem</formula>
    </cfRule>
  </conditionalFormatting>
  <dataValidations count="15">
    <dataValidation type="list" allowBlank="1" showInputMessage="1" showErrorMessage="1" sqref="A5:A8" xr:uid="{D9ACA8FC-3811-4E89-B01E-A99ABBA25D63}">
      <formula1>"APRO, ANÁL, CANC,"</formula1>
    </dataValidation>
    <dataValidation allowBlank="1" showInputMessage="1" showErrorMessage="1" prompt="Porcentagem acima/abaixo personalizáveis usadas para realçar o trabalho real em horas e dias na tabela de projetos que excedam ou fiquem abaixo deste número" sqref="D2" xr:uid="{5A855C25-0966-4856-AA47-5AB89D0B4A6D}"/>
    <dataValidation type="list" allowBlank="1" showInputMessage="1" showErrorMessage="1" error="Selecione uma categoria na lista ou crie uma nova categoria para exibir nesta lista da planilha Configuração." sqref="D5:D15" xr:uid="{82653C76-3BBF-40AB-84D7-83255EA975B3}">
      <formula1>Categoria_Lista</formula1>
    </dataValidation>
    <dataValidation type="list" allowBlank="1" showInputMessage="1" showErrorMessage="1" error="Selecione um funcionário na lista ou crie um novo funcionário para exibir nesta lista da planilha Configuração." sqref="E5:E15" xr:uid="{33DECC62-9132-494B-857F-9411C1F96952}">
      <formula1>Funcionário_Lista</formula1>
    </dataValidation>
    <dataValidation allowBlank="1" showInputMessage="1" showErrorMessage="1" prompt="Insira os nomes de projetos nesta coluna" sqref="A4:C4" xr:uid="{4A83BB71-3360-4663-8E58-4C289121D24F}"/>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0E52DD6B-C9B0-4D6D-B1B5-1F222079DA0A}"/>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89B9D1C7-843A-4B7F-ABE9-F57FF4513008}"/>
    <dataValidation allowBlank="1" showInputMessage="1" showErrorMessage="1" prompt="Insira a data de início estimada do projeto nesta coluna" sqref="F4" xr:uid="{0E44DA4C-53B1-45C6-B5A7-814302C95A63}"/>
    <dataValidation allowBlank="1" showInputMessage="1" showErrorMessage="1" prompt="Insira a data de término estimada do projeto nesta coluna" sqref="G4" xr:uid="{706D49EB-0166-4320-96AD-80B36167303C}"/>
    <dataValidation allowBlank="1" showInputMessage="1" showErrorMessage="1" prompt="Insira a duração estimada do projeto em dias nesta coluna" sqref="H4" xr:uid="{57987847-C3D0-46D1-B11D-DF49DA7E5B3F}"/>
    <dataValidation allowBlank="1" showInputMessage="1" showErrorMessage="1" prompt="Insira a data de início real do projeto nesta coluna" sqref="I4" xr:uid="{38FA265C-D8BC-4B9E-B3D0-C2193D73CE74}"/>
    <dataValidation allowBlank="1" showInputMessage="1" showErrorMessage="1" prompt="Insira a data de término real do projeto nesta coluna" sqref="J4" xr:uid="{1630BC44-FBDB-435A-B3EF-4B0F7919E520}"/>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1EFE96FE-0BF3-4FB4-ACE7-AD6E214B4A88}"/>
    <dataValidation allowBlank="1" showInputMessage="1" showErrorMessage="1" prompt="Insira a duração real de projeto em dias. Valores que atendem aos critérios Acima/Abaixo são destacados em negrito vermelho e geram um ícone de sinalizador na coluna M à esquerda" sqref="L4" xr:uid="{F4FC1BE4-A54C-4CF3-9D74-8D27AD3E9CEC}"/>
    <dataValidation allowBlank="1" showInputMessage="1" showErrorMessage="1" prompt="Insira anotações para os projetos nesta coluna" sqref="M4:N4" xr:uid="{F1B39576-EF30-4B38-91A8-9C894F3BEDB1}"/>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0DB367DE-1DD0-4F3E-BDA1-EB1728D8F178}">
            <x14:iconSet custom="1">
              <x14:cfvo type="percent">
                <xm:f>0</xm:f>
              </x14:cfvo>
              <x14:cfvo type="num">
                <xm:f>0</xm:f>
              </x14:cfvo>
              <x14:cfvo type="num">
                <xm:f>1</xm:f>
              </x14:cfvo>
              <x14:cfIcon iconSet="NoIcons" iconId="0"/>
              <x14:cfIcon iconSet="NoIcons" iconId="0"/>
              <x14:cfIcon iconSet="3Flags" iconId="0"/>
            </x14:iconSet>
          </x14:cfRule>
          <xm:sqref>K5:K15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B54DF-AD4B-404F-A0DB-E879AF4AD632}">
  <sheetPr>
    <tabColor theme="8"/>
    <pageSetUpPr autoPageBreaks="0" fitToPage="1"/>
  </sheetPr>
  <dimension ref="A1:N15"/>
  <sheetViews>
    <sheetView showGridLines="0" zoomScale="90" zoomScaleNormal="90" workbookViewId="0">
      <pane ySplit="4" topLeftCell="C5" activePane="bottomLeft" state="frozen"/>
      <selection pane="bottomLeft" activeCell="K12" sqref="K12"/>
    </sheetView>
  </sheetViews>
  <sheetFormatPr defaultColWidth="9" defaultRowHeight="30" customHeight="1"/>
  <cols>
    <col min="1" max="1" width="23.5" style="31" customWidth="1"/>
    <col min="2" max="2" width="23.75" style="107" customWidth="1"/>
    <col min="3" max="3" width="20.625" customWidth="1"/>
    <col min="4" max="4" width="16.625" customWidth="1"/>
    <col min="5" max="5" width="13.75" style="1" customWidth="1"/>
    <col min="6" max="6" width="14.375" style="1" customWidth="1"/>
    <col min="7" max="7" width="14.75" customWidth="1"/>
    <col min="8" max="8" width="18.5" style="34" customWidth="1"/>
    <col min="9" max="9" width="14.875" style="1" customWidth="1"/>
    <col min="10" max="10" width="14.625" style="1" customWidth="1"/>
    <col min="11" max="11" width="13.625" customWidth="1"/>
    <col min="12" max="12" width="28.25" customWidth="1"/>
    <col min="13" max="13" width="24" customWidth="1"/>
    <col min="14" max="14" width="25.625" customWidth="1"/>
    <col min="15" max="15" width="2.625" customWidth="1"/>
  </cols>
  <sheetData>
    <row r="1" spans="1:14" ht="65.099999999999994" customHeight="1">
      <c r="A1" s="131" t="s">
        <v>246</v>
      </c>
      <c r="B1" s="131"/>
      <c r="C1" s="131"/>
      <c r="D1" s="131"/>
      <c r="E1" s="131"/>
      <c r="F1" s="131"/>
      <c r="G1" s="1" t="s">
        <v>219</v>
      </c>
      <c r="H1" s="34" t="s">
        <v>220</v>
      </c>
      <c r="I1" s="130"/>
      <c r="J1" s="130"/>
      <c r="K1" s="130"/>
      <c r="L1" s="130"/>
      <c r="M1" s="130"/>
      <c r="N1" s="130"/>
    </row>
    <row r="2" spans="1:14" ht="20.25" customHeight="1">
      <c r="A2" s="48"/>
      <c r="B2" s="106"/>
      <c r="C2" s="3" t="s">
        <v>26</v>
      </c>
      <c r="D2" s="20"/>
      <c r="I2" s="130"/>
      <c r="J2" s="130"/>
      <c r="K2" s="130"/>
      <c r="L2" s="130"/>
      <c r="M2" s="130"/>
      <c r="N2" s="130"/>
    </row>
    <row r="3" spans="1:14" ht="20.25" customHeight="1">
      <c r="I3" s="130"/>
      <c r="J3" s="130"/>
      <c r="K3" s="130"/>
      <c r="L3" s="130"/>
      <c r="M3" s="130"/>
      <c r="N3" s="130"/>
    </row>
    <row r="4" spans="1:14" ht="54.95" customHeight="1">
      <c r="A4" s="35" t="s">
        <v>126</v>
      </c>
      <c r="B4" s="108" t="s">
        <v>221</v>
      </c>
      <c r="C4" s="15" t="s">
        <v>29</v>
      </c>
      <c r="D4" s="15" t="s">
        <v>1</v>
      </c>
      <c r="E4" s="15" t="s">
        <v>30</v>
      </c>
      <c r="F4" s="16" t="s">
        <v>31</v>
      </c>
      <c r="G4" s="16" t="s">
        <v>32</v>
      </c>
      <c r="H4" s="29" t="s">
        <v>33</v>
      </c>
      <c r="I4" s="18" t="s">
        <v>34</v>
      </c>
      <c r="J4" s="16" t="s">
        <v>35</v>
      </c>
      <c r="K4" s="23" t="s">
        <v>36</v>
      </c>
      <c r="L4" s="19" t="s">
        <v>37</v>
      </c>
      <c r="M4" s="15" t="s">
        <v>38</v>
      </c>
      <c r="N4" s="15" t="s">
        <v>39</v>
      </c>
    </row>
    <row r="5" spans="1:14" ht="66">
      <c r="A5" s="52" t="s">
        <v>40</v>
      </c>
      <c r="B5" s="109" t="s">
        <v>247</v>
      </c>
      <c r="C5" s="6" t="s">
        <v>248</v>
      </c>
      <c r="D5" s="6" t="s">
        <v>4</v>
      </c>
      <c r="E5" s="6" t="s">
        <v>97</v>
      </c>
      <c r="F5" s="7">
        <v>45880</v>
      </c>
      <c r="G5" s="7">
        <v>45911</v>
      </c>
      <c r="H5" s="44">
        <f>IF(COUNTA('Prot. TLD - Sede Hélio'!$F5,'Prot. TLD - Sede Hélio'!$G5)&lt;&gt;2,"",DAYS360('Prot. TLD - Sede Hélio'!$F5,'Prot. TLD - Sede Hélio'!$G5,FALSE))</f>
        <v>30</v>
      </c>
      <c r="I5" s="8">
        <v>45880</v>
      </c>
      <c r="J5" s="7">
        <v>45905</v>
      </c>
      <c r="K5" s="14">
        <f>IFERROR(IF(ControladorDeProjetos367311[[#This Row],[Duração Real (em dias)]]=0,"",IF(ABS((ControladorDeProjetos367311[[#This Row],[Duração Real (em dias)]]-ControladorDeProjetos367311[[#This Row],[Duração Estimada (em dias)]])/ControladorDeProjetos367311[[#This Row],[Duração Estimada (em dias)]])&gt;Sinalizador_Porcentagem,1,0)),"")</f>
        <v>1</v>
      </c>
      <c r="L5" s="9">
        <f>IF(COUNTA('Prot. TLD - Sede Hélio'!$I5,'Prot. TLD - Sede Hélio'!$J5)&lt;&gt;2,"",DAYS360('Prot. TLD - Sede Hélio'!$I5,'Prot. TLD - Sede Hélio'!$J5,FALSE))</f>
        <v>24</v>
      </c>
      <c r="M5" s="6"/>
      <c r="N5" s="6" t="s">
        <v>249</v>
      </c>
    </row>
    <row r="6" spans="1:14" ht="33">
      <c r="A6" s="52" t="s">
        <v>40</v>
      </c>
      <c r="B6" s="111">
        <v>20262762687225</v>
      </c>
      <c r="C6" s="6" t="s">
        <v>250</v>
      </c>
      <c r="D6" s="6" t="s">
        <v>18</v>
      </c>
      <c r="E6" s="6" t="s">
        <v>10</v>
      </c>
      <c r="F6" s="7">
        <v>46027</v>
      </c>
      <c r="G6" s="7">
        <v>46058</v>
      </c>
      <c r="H6" s="44">
        <f>IF(COUNTA('Prot. TLD - Sede Hélio'!$F6,'Prot. TLD - Sede Hélio'!$G6)&lt;&gt;2,"",DAYS360('Prot. TLD - Sede Hélio'!$F6,'Prot. TLD - Sede Hélio'!$G6,FALSE))</f>
        <v>30</v>
      </c>
      <c r="I6" s="8">
        <v>46027</v>
      </c>
      <c r="J6" s="7">
        <v>46029</v>
      </c>
      <c r="K6" s="14"/>
      <c r="L6" s="9">
        <f>ControladorDeProjetos367311[[#This Row],[Real
Término]]-ControladorDeProjetos367311[[#This Row],[Real 
Início]]</f>
        <v>2</v>
      </c>
      <c r="M6" s="6"/>
      <c r="N6" s="6"/>
    </row>
    <row r="7" spans="1:14" ht="16.5">
      <c r="A7" s="52"/>
      <c r="B7" s="109"/>
      <c r="C7" s="6"/>
      <c r="D7" s="6"/>
      <c r="E7" s="6"/>
      <c r="F7" s="7"/>
      <c r="G7" s="7"/>
      <c r="H7" s="44"/>
      <c r="I7" s="8"/>
      <c r="J7" s="7"/>
      <c r="K7" s="14"/>
      <c r="L7" s="9"/>
      <c r="M7" s="6"/>
      <c r="N7" s="6"/>
    </row>
    <row r="8" spans="1:14" ht="16.5">
      <c r="A8" s="39"/>
      <c r="B8" s="109"/>
      <c r="C8" s="6"/>
      <c r="D8" s="6"/>
      <c r="E8" s="6"/>
      <c r="F8" s="7"/>
      <c r="G8" s="7"/>
      <c r="H8" s="44" t="str">
        <f>IF(COUNTA('Prot. TLD - Sede Hélio'!$F8,'Prot. TLD - Sede Hélio'!$G8)&lt;&gt;2,"",DAYS360('Prot. TLD - Sede Hélio'!$F8,'Prot. TLD - Sede Hélio'!$G8,FALSE))</f>
        <v/>
      </c>
      <c r="I8" s="8"/>
      <c r="J8" s="7"/>
      <c r="K8" s="14" t="str">
        <f>IFERROR(IF(ControladorDeProjetos367311[[#This Row],[Duração Real (em dias)]]=0,"",IF(ABS((ControladorDeProjetos367311[[#This Row],[Duração Real (em dias)]]-ControladorDeProjetos367311[[#This Row],[Duração Estimada (em dias)]])/ControladorDeProjetos367311[[#This Row],[Duração Estimada (em dias)]])&gt;Sinalizador_Porcentagem,1,0)),"")</f>
        <v/>
      </c>
      <c r="L8" s="9" t="str">
        <f>IF(COUNTA('Prot. TLD - Sede Hélio'!$I8,'Prot. TLD - Sede Hélio'!$J8)&lt;&gt;2,"",DAYS360('Prot. TLD - Sede Hélio'!$I8,'Prot. TLD - Sede Hélio'!$J8,FALSE))</f>
        <v/>
      </c>
      <c r="M8" s="6"/>
      <c r="N8" s="6"/>
    </row>
    <row r="9" spans="1:14" ht="16.5">
      <c r="A9" s="39"/>
      <c r="B9" s="109"/>
      <c r="C9" s="6"/>
      <c r="D9" s="6"/>
      <c r="E9" s="6"/>
      <c r="F9" s="7"/>
      <c r="G9" s="7"/>
      <c r="H9" s="44" t="str">
        <f>IF(COUNTA('Prot. TLD - Sede Hélio'!$F9,'Prot. TLD - Sede Hélio'!$G9)&lt;&gt;2,"",DAYS360('Prot. TLD - Sede Hélio'!$F9,'Prot. TLD - Sede Hélio'!$G9,FALSE))</f>
        <v/>
      </c>
      <c r="I9" s="8"/>
      <c r="J9" s="7"/>
      <c r="K9" s="14" t="str">
        <f>IFERROR(IF(ControladorDeProjetos367311[[#This Row],[Duração Real (em dias)]]=0,"",IF(ABS((ControladorDeProjetos367311[[#This Row],[Duração Real (em dias)]]-ControladorDeProjetos367311[[#This Row],[Duração Estimada (em dias)]])/ControladorDeProjetos367311[[#This Row],[Duração Estimada (em dias)]])&gt;Sinalizador_Porcentagem,1,0)),"")</f>
        <v/>
      </c>
      <c r="L9" s="9" t="str">
        <f>IF(COUNTA('Prot. TLD - Sede Hélio'!$I9,'Prot. TLD - Sede Hélio'!$J9)&lt;&gt;2,"",DAYS360('Prot. TLD - Sede Hélio'!$I9,'Prot. TLD - Sede Hélio'!$J9,FALSE))</f>
        <v/>
      </c>
      <c r="M9" s="6"/>
      <c r="N9" s="6"/>
    </row>
    <row r="10" spans="1:14" ht="16.5">
      <c r="A10" s="39"/>
      <c r="B10" s="109"/>
      <c r="C10" s="6"/>
      <c r="D10" s="6"/>
      <c r="E10" s="67"/>
      <c r="F10" s="7"/>
      <c r="G10" s="7"/>
      <c r="H10" s="44" t="str">
        <f>IF(COUNTA('Prot. TLD - Sede Hélio'!$F10,'Prot. TLD - Sede Hélio'!$G10)&lt;&gt;2,"",DAYS360('Prot. TLD - Sede Hélio'!$F10,'Prot. TLD - Sede Hélio'!$G10,FALSE))</f>
        <v/>
      </c>
      <c r="I10" s="8"/>
      <c r="J10" s="7"/>
      <c r="K10" s="14" t="str">
        <f>IFERROR(IF(ControladorDeProjetos367311[[#This Row],[Duração Real (em dias)]]=0,"",IF(ABS((ControladorDeProjetos367311[[#This Row],[Duração Real (em dias)]]-ControladorDeProjetos367311[[#This Row],[Duração Estimada (em dias)]])/ControladorDeProjetos367311[[#This Row],[Duração Estimada (em dias)]])&gt;Sinalizador_Porcentagem,1,0)),"")</f>
        <v/>
      </c>
      <c r="L10" s="9" t="str">
        <f>IF(COUNTA('Prot. TLD - Sede Hélio'!$I10,'Prot. TLD - Sede Hélio'!$J10)&lt;&gt;2,"",DAYS360('Prot. TLD - Sede Hélio'!$I10,'Prot. TLD - Sede Hélio'!$J10,FALSE))</f>
        <v/>
      </c>
      <c r="M10" s="6"/>
      <c r="N10" s="6"/>
    </row>
    <row r="11" spans="1:14" ht="16.5">
      <c r="A11" s="39"/>
      <c r="B11" s="109"/>
      <c r="C11" s="6"/>
      <c r="D11" s="6"/>
      <c r="E11" s="68"/>
      <c r="F11" s="7"/>
      <c r="G11" s="7"/>
      <c r="H11" s="44" t="str">
        <f>IF(COUNTA('Prot. TLD - Sede Hélio'!$F11,'Prot. TLD - Sede Hélio'!$G11)&lt;&gt;2,"",DAYS360('Prot. TLD - Sede Hélio'!$F11,'Prot. TLD - Sede Hélio'!$G11,FALSE))</f>
        <v/>
      </c>
      <c r="I11" s="8"/>
      <c r="J11" s="7"/>
      <c r="K11" s="14" t="str">
        <f>IFERROR(IF(ControladorDeProjetos367311[[#This Row],[Duração Real (em dias)]]=0,"",IF(ABS((ControladorDeProjetos367311[[#This Row],[Duração Real (em dias)]]-ControladorDeProjetos367311[[#This Row],[Duração Estimada (em dias)]])/ControladorDeProjetos367311[[#This Row],[Duração Estimada (em dias)]])&gt;Sinalizador_Porcentagem,1,0)),"")</f>
        <v/>
      </c>
      <c r="L11" s="9" t="str">
        <f>IF(COUNTA('Prot. TLD - Sede Hélio'!$I11,'Prot. TLD - Sede Hélio'!$J11)&lt;&gt;2,"",DAYS360('Prot. TLD - Sede Hélio'!$I11,'Prot. TLD - Sede Hélio'!$J11,FALSE))</f>
        <v/>
      </c>
      <c r="M11" s="26"/>
      <c r="N11" s="6"/>
    </row>
    <row r="12" spans="1:14" ht="16.5">
      <c r="A12" s="39"/>
      <c r="B12" s="109"/>
      <c r="C12" s="6"/>
      <c r="D12" s="6"/>
      <c r="E12" s="6"/>
      <c r="F12" s="7"/>
      <c r="G12" s="7"/>
      <c r="H12" s="44" t="str">
        <f>IF(COUNTA('Prot. TLD - Sede Hélio'!$F12,'Prot. TLD - Sede Hélio'!$G12)&lt;&gt;2,"",DAYS360('Prot. TLD - Sede Hélio'!$F12,'Prot. TLD - Sede Hélio'!$G12,FALSE))</f>
        <v/>
      </c>
      <c r="I12" s="8"/>
      <c r="J12" s="7"/>
      <c r="K12" s="14" t="str">
        <f>IFERROR(IF(ControladorDeProjetos367311[[#This Row],[Duração Real (em dias)]]=0,"",IF(ABS((ControladorDeProjetos367311[[#This Row],[Duração Real (em dias)]]-ControladorDeProjetos367311[[#This Row],[Duração Estimada (em dias)]])/ControladorDeProjetos367311[[#This Row],[Duração Estimada (em dias)]])&gt;Sinalizador_Porcentagem,1,0)),"")</f>
        <v/>
      </c>
      <c r="L12" s="9" t="str">
        <f>IF(COUNTA('Prot. TLD - Sede Hélio'!$I12,'Prot. TLD - Sede Hélio'!$J12)&lt;&gt;2,"",DAYS360('Prot. TLD - Sede Hélio'!$I12,'Prot. TLD - Sede Hélio'!$J12,FALSE))</f>
        <v/>
      </c>
      <c r="M12" s="6"/>
      <c r="N12" s="6"/>
    </row>
    <row r="13" spans="1:14" ht="16.5">
      <c r="A13" s="40"/>
      <c r="B13" s="110"/>
      <c r="C13" s="10"/>
      <c r="D13" s="10"/>
      <c r="E13" s="6"/>
      <c r="F13" s="11"/>
      <c r="G13" s="11"/>
      <c r="H13" s="44" t="str">
        <f>IF(COUNTA('Prot. TLD - Sede Hélio'!$F13,'Prot. TLD - Sede Hélio'!$G13)&lt;&gt;2,"",DAYS360('Prot. TLD - Sede Hélio'!$F13,'Prot. TLD - Sede Hélio'!$G13,FALSE))</f>
        <v/>
      </c>
      <c r="I13" s="8"/>
      <c r="J13" s="11"/>
      <c r="K13" s="14" t="str">
        <f>IFERROR(IF(ControladorDeProjetos367311[[#This Row],[Duração Real (em dias)]]=0,"",IF(ABS((ControladorDeProjetos367311[[#This Row],[Duração Real (em dias)]]-ControladorDeProjetos367311[[#This Row],[Duração Estimada (em dias)]])/ControladorDeProjetos367311[[#This Row],[Duração Estimada (em dias)]])&gt;Sinalizador_Porcentagem,1,0)),"")</f>
        <v/>
      </c>
      <c r="L13" s="12" t="str">
        <f>IF(COUNTA('Prot. TLD - Sede Hélio'!$I13,'Prot. TLD - Sede Hélio'!$J13)&lt;&gt;2,"",DAYS360('Prot. TLD - Sede Hélio'!$I13,'Prot. TLD - Sede Hélio'!$J13,FALSE))</f>
        <v/>
      </c>
      <c r="M13" s="10"/>
      <c r="N13" s="10"/>
    </row>
    <row r="14" spans="1:14" ht="16.5">
      <c r="A14" s="40"/>
      <c r="B14" s="110"/>
      <c r="C14" s="10"/>
      <c r="D14" s="10"/>
      <c r="E14" s="6"/>
      <c r="F14" s="11"/>
      <c r="G14" s="11"/>
      <c r="H14" s="44" t="str">
        <f>IF(COUNTA('Prot. TLD - Sede Hélio'!$F14,'Prot. TLD - Sede Hélio'!$G14)&lt;&gt;2,"",DAYS360('Prot. TLD - Sede Hélio'!$F14,'Prot. TLD - Sede Hélio'!$G14,FALSE))</f>
        <v/>
      </c>
      <c r="I14" s="8"/>
      <c r="J14" s="11"/>
      <c r="K14" s="14" t="str">
        <f>IFERROR(IF(ControladorDeProjetos367311[[#This Row],[Duração Real (em dias)]]=0,"",IF(ABS((ControladorDeProjetos367311[[#This Row],[Duração Real (em dias)]]-ControladorDeProjetos367311[[#This Row],[Duração Estimada (em dias)]])/ControladorDeProjetos367311[[#This Row],[Duração Estimada (em dias)]])&gt;Sinalizador_Porcentagem,1,0)),"")</f>
        <v/>
      </c>
      <c r="L14" s="12" t="str">
        <f>IF(COUNTA('Prot. TLD - Sede Hélio'!$I14,'Prot. TLD - Sede Hélio'!$J14)&lt;&gt;2,"",DAYS360('Prot. TLD - Sede Hélio'!$I14,'Prot. TLD - Sede Hélio'!$J14,FALSE))</f>
        <v/>
      </c>
      <c r="M14" s="10"/>
      <c r="N14" s="10"/>
    </row>
    <row r="15" spans="1:14" ht="16.5">
      <c r="A15" s="41"/>
      <c r="B15" s="86"/>
      <c r="C15" s="5"/>
      <c r="D15" s="5"/>
      <c r="E15" s="5"/>
      <c r="F15" s="11"/>
      <c r="G15" s="11"/>
      <c r="H15" s="44" t="str">
        <f>IF(COUNTA('Prot. TLD - Sede Hélio'!$F15,'Prot. TLD - Sede Hélio'!$G15)&lt;&gt;2,"",DAYS360('Prot. TLD - Sede Hélio'!$F15,'Prot. TLD - Sede Hélio'!$G15,FALSE))</f>
        <v/>
      </c>
      <c r="I15" s="8"/>
      <c r="J15" s="11"/>
      <c r="K15" s="14" t="str">
        <f>IFERROR(IF(ControladorDeProjetos367311[[#This Row],[Duração Real (em dias)]]=0,"",IF(ABS((ControladorDeProjetos367311[[#This Row],[Duração Real (em dias)]]-ControladorDeProjetos367311[[#This Row],[Duração Estimada (em dias)]])/ControladorDeProjetos367311[[#This Row],[Duração Estimada (em dias)]])&gt;Sinalizador_Porcentagem,1,0)),"")</f>
        <v/>
      </c>
      <c r="L15" s="12" t="str">
        <f>IF(COUNTA('Prot. TLD - Sede Hélio'!$I15,'Prot. TLD - Sede Hélio'!$J15)&lt;&gt;2,"",DAYS360('Prot. TLD - Sede Hélio'!$I15,'Prot. TLD - Sede Hélio'!$J15,FALSE))</f>
        <v/>
      </c>
      <c r="M15" s="5"/>
      <c r="N15" s="5"/>
    </row>
  </sheetData>
  <mergeCells count="2">
    <mergeCell ref="A1:F1"/>
    <mergeCell ref="I1:N3"/>
  </mergeCells>
  <conditionalFormatting sqref="A5:A7">
    <cfRule type="containsText" dxfId="105" priority="1" operator="containsText" text="ANÁLISE">
      <formula>NOT(ISERROR(SEARCH("ANÁLISE",A5)))</formula>
    </cfRule>
    <cfRule type="containsText" dxfId="104" priority="2" operator="containsText" text="ANÁL">
      <formula>NOT(ISERROR(SEARCH("ANÁL",A5)))</formula>
    </cfRule>
    <cfRule type="containsText" dxfId="103" priority="3" operator="containsText" text="CANC">
      <formula>NOT(ISERROR(SEARCH("CANC",A5)))</formula>
    </cfRule>
    <cfRule type="containsText" dxfId="102" priority="4" operator="containsText" text="APRO">
      <formula>NOT(ISERROR(SEARCH("APRO",A5)))</formula>
    </cfRule>
    <cfRule type="containsText" dxfId="101" priority="5" operator="containsText" text="ANÁL">
      <formula>NOT(ISERROR(SEARCH("ANÁL",A5)))</formula>
    </cfRule>
    <cfRule type="containsText" dxfId="100" priority="6" operator="containsText" text="CANC.">
      <formula>NOT(ISERROR(SEARCH("CANC.",A5)))</formula>
    </cfRule>
    <cfRule type="containsText" dxfId="99" priority="7" operator="containsText" text="APRO.">
      <formula>NOT(ISERROR(SEARCH("APRO.",A5)))</formula>
    </cfRule>
  </conditionalFormatting>
  <conditionalFormatting sqref="L5:L15">
    <cfRule type="expression" dxfId="98" priority="8">
      <formula>(ABS((L5-H5))/H5)&gt;Sinalizador_Porcentagem</formula>
    </cfRule>
  </conditionalFormatting>
  <dataValidations count="15">
    <dataValidation allowBlank="1" showInputMessage="1" showErrorMessage="1" prompt="Insira anotações para os projetos nesta coluna" sqref="M4:N4" xr:uid="{B33BC6F3-5C01-4E25-B5CD-39A35BA0AE46}"/>
    <dataValidation allowBlank="1" showInputMessage="1" showErrorMessage="1" prompt="Insira a duração real de projeto em dias. Valores que atendem aos critérios Acima/Abaixo são destacados em negrito vermelho e geram um ícone de sinalizador na coluna M à esquerda" sqref="L4" xr:uid="{B4DBF609-056E-4355-AC60-EB10367C45BB}"/>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11106CF0-1284-40C8-99AA-B09E40F90C59}"/>
    <dataValidation allowBlank="1" showInputMessage="1" showErrorMessage="1" prompt="Insira a data de término real do projeto nesta coluna" sqref="J4" xr:uid="{4496D8B9-73FB-4285-BAB1-DE0A8076EBFF}"/>
    <dataValidation allowBlank="1" showInputMessage="1" showErrorMessage="1" prompt="Insira a data de início real do projeto nesta coluna" sqref="I4" xr:uid="{050E73AC-DA70-4E5D-964F-72690CA565FF}"/>
    <dataValidation allowBlank="1" showInputMessage="1" showErrorMessage="1" prompt="Insira a duração estimada do projeto em dias nesta coluna" sqref="H4" xr:uid="{3A7F78D9-4DBA-4DBD-9830-6E7FAD4C576C}"/>
    <dataValidation allowBlank="1" showInputMessage="1" showErrorMessage="1" prompt="Insira a data de término estimada do projeto nesta coluna" sqref="G4" xr:uid="{62D38B51-AE28-4403-8D48-B3CD35D59120}"/>
    <dataValidation allowBlank="1" showInputMessage="1" showErrorMessage="1" prompt="Insira a data de início estimada do projeto nesta coluna" sqref="F4" xr:uid="{B5AD4D91-C001-4A1C-A576-839C975CD6F3}"/>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A342E60E-387E-4BEF-8CA0-E12E4D327820}"/>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5ABE13F2-B37B-4E82-8A95-C12356D978ED}"/>
    <dataValidation allowBlank="1" showInputMessage="1" showErrorMessage="1" prompt="Insira os nomes de projetos nesta coluna" sqref="A4:C4" xr:uid="{65739B0E-2ABA-48A6-807A-CBBA8AC046D4}"/>
    <dataValidation type="list" allowBlank="1" showInputMessage="1" showErrorMessage="1" error="Selecione um funcionário na lista ou crie um novo funcionário para exibir nesta lista da planilha Configuração." sqref="E5:E15" xr:uid="{CF9D051C-A391-4C14-86D1-7E8FBD37229F}">
      <formula1>Funcionário_Lista</formula1>
    </dataValidation>
    <dataValidation type="list" allowBlank="1" showInputMessage="1" showErrorMessage="1" error="Selecione uma categoria na lista ou crie uma nova categoria para exibir nesta lista da planilha Configuração." sqref="D5:D15" xr:uid="{C44AAE89-C665-4C66-8D84-20F0D94567FF}">
      <formula1>Categoria_Lista</formula1>
    </dataValidation>
    <dataValidation allowBlank="1" showInputMessage="1" showErrorMessage="1" prompt="Porcentagem acima/abaixo personalizáveis usadas para realçar o trabalho real em horas e dias na tabela de projetos que excedam ou fiquem abaixo deste número" sqref="D2" xr:uid="{F62A1B6A-C579-48B6-AEBB-B84804085E9A}"/>
    <dataValidation type="list" allowBlank="1" showInputMessage="1" showErrorMessage="1" sqref="A5:A7" xr:uid="{603AAAA6-B4B8-4554-B010-01EA55221259}">
      <formula1>"APRO, ANÁL, CANC,"</formula1>
    </dataValidation>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7924EB1E-2524-4166-A766-1697BD0191C6}">
            <x14:iconSet custom="1">
              <x14:cfvo type="percent">
                <xm:f>0</xm:f>
              </x14:cfvo>
              <x14:cfvo type="num">
                <xm:f>0</xm:f>
              </x14:cfvo>
              <x14:cfvo type="num">
                <xm:f>1</xm:f>
              </x14:cfvo>
              <x14:cfIcon iconSet="NoIcons" iconId="0"/>
              <x14:cfIcon iconSet="NoIcons" iconId="0"/>
              <x14:cfIcon iconSet="3Flags" iconId="0"/>
            </x14:iconSet>
          </x14:cfRule>
          <xm:sqref>K5:K15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93E5F-08E9-42F9-82CA-92035C217775}">
  <sheetPr>
    <tabColor theme="8"/>
    <pageSetUpPr autoPageBreaks="0" fitToPage="1"/>
  </sheetPr>
  <dimension ref="A1:N15"/>
  <sheetViews>
    <sheetView showGridLines="0" zoomScale="110" zoomScaleNormal="110" workbookViewId="0">
      <pane ySplit="4" topLeftCell="A5" activePane="bottomLeft" state="frozen"/>
      <selection pane="bottomLeft" activeCell="A6" sqref="A6"/>
    </sheetView>
  </sheetViews>
  <sheetFormatPr defaultColWidth="9" defaultRowHeight="30" customHeight="1"/>
  <cols>
    <col min="1" max="1" width="23.5" style="31" customWidth="1"/>
    <col min="2" max="2" width="23.75" customWidth="1"/>
    <col min="3" max="3" width="20.625" customWidth="1"/>
    <col min="4" max="4" width="16.625" customWidth="1"/>
    <col min="5" max="5" width="13.75" style="1" customWidth="1"/>
    <col min="6" max="6" width="14.375" style="1" customWidth="1"/>
    <col min="7" max="7" width="16.375" customWidth="1"/>
    <col min="8" max="8" width="23.125" style="34" customWidth="1"/>
    <col min="9" max="9" width="14.875" style="1" customWidth="1"/>
    <col min="10" max="10" width="14.625" style="1" customWidth="1"/>
    <col min="11" max="11" width="13.625" customWidth="1"/>
    <col min="12" max="12" width="28.25" customWidth="1"/>
    <col min="13" max="13" width="24" customWidth="1"/>
    <col min="14" max="14" width="25.625" customWidth="1"/>
    <col min="15" max="15" width="2.625" customWidth="1"/>
  </cols>
  <sheetData>
    <row r="1" spans="1:14" ht="65.099999999999994" customHeight="1">
      <c r="A1" s="131" t="s">
        <v>251</v>
      </c>
      <c r="B1" s="131"/>
      <c r="C1" s="131"/>
      <c r="D1" s="131"/>
      <c r="E1" s="131"/>
      <c r="F1" s="131"/>
      <c r="G1" s="1" t="s">
        <v>219</v>
      </c>
      <c r="H1" s="34" t="s">
        <v>220</v>
      </c>
      <c r="I1" s="130"/>
      <c r="J1" s="130"/>
      <c r="K1" s="130"/>
      <c r="L1" s="130"/>
      <c r="M1" s="130"/>
      <c r="N1" s="130"/>
    </row>
    <row r="2" spans="1:14" ht="20.25" customHeight="1">
      <c r="A2" s="48"/>
      <c r="B2" s="4"/>
      <c r="C2" s="3" t="s">
        <v>26</v>
      </c>
      <c r="D2" s="20"/>
      <c r="G2" t="s">
        <v>252</v>
      </c>
      <c r="H2" s="92" t="s">
        <v>253</v>
      </c>
      <c r="I2" s="130"/>
      <c r="J2" s="130"/>
      <c r="K2" s="130"/>
      <c r="L2" s="130"/>
      <c r="M2" s="130"/>
      <c r="N2" s="130"/>
    </row>
    <row r="3" spans="1:14" ht="20.25" customHeight="1">
      <c r="I3" s="130"/>
      <c r="J3" s="130"/>
      <c r="K3" s="130"/>
      <c r="L3" s="130"/>
      <c r="M3" s="130"/>
      <c r="N3" s="130"/>
    </row>
    <row r="4" spans="1:14" ht="54.95" customHeight="1">
      <c r="A4" s="35" t="s">
        <v>126</v>
      </c>
      <c r="B4" s="15" t="s">
        <v>221</v>
      </c>
      <c r="C4" s="15" t="s">
        <v>29</v>
      </c>
      <c r="D4" s="15" t="s">
        <v>1</v>
      </c>
      <c r="E4" s="15" t="s">
        <v>30</v>
      </c>
      <c r="F4" s="16" t="s">
        <v>31</v>
      </c>
      <c r="G4" s="16" t="s">
        <v>32</v>
      </c>
      <c r="H4" s="29" t="s">
        <v>33</v>
      </c>
      <c r="I4" s="18" t="s">
        <v>34</v>
      </c>
      <c r="J4" s="16" t="s">
        <v>35</v>
      </c>
      <c r="K4" s="23" t="s">
        <v>36</v>
      </c>
      <c r="L4" s="19" t="s">
        <v>37</v>
      </c>
      <c r="M4" s="15" t="s">
        <v>38</v>
      </c>
      <c r="N4" s="15" t="s">
        <v>39</v>
      </c>
    </row>
    <row r="5" spans="1:14" ht="99">
      <c r="A5" s="52" t="s">
        <v>40</v>
      </c>
      <c r="B5" s="6" t="s">
        <v>254</v>
      </c>
      <c r="C5" s="6" t="s">
        <v>255</v>
      </c>
      <c r="D5" s="6" t="s">
        <v>4</v>
      </c>
      <c r="E5" s="6" t="s">
        <v>97</v>
      </c>
      <c r="F5" s="7">
        <v>45924</v>
      </c>
      <c r="G5" s="7">
        <v>45954</v>
      </c>
      <c r="H5" s="44">
        <f>IF(COUNTA('Prot. TLD - Sperafico'!$F5,'Prot. TLD - Sperafico'!$G5)&lt;&gt;2,"",DAYS360('Prot. TLD - Sperafico'!$F5,'Prot. TLD - Sperafico'!$G5,FALSE))</f>
        <v>30</v>
      </c>
      <c r="I5" s="8">
        <v>45924</v>
      </c>
      <c r="J5" s="7"/>
      <c r="K5" s="14" t="str">
        <f>IFERROR(IF(ControladorDeProjetos36731112[[#This Row],[Duração Real (em dias)]]=0,"",IF(ABS((ControladorDeProjetos36731112[[#This Row],[Duração Real (em dias)]]-ControladorDeProjetos36731112[[#This Row],[Duração Estimada (em dias)]])/ControladorDeProjetos36731112[[#This Row],[Duração Estimada (em dias)]])&gt;Sinalizador_Porcentagem,1,0)),"")</f>
        <v/>
      </c>
      <c r="L5" s="9" t="str">
        <f>IF(COUNTA('Prot. TLD - Sperafico'!$I5,'Prot. TLD - Sperafico'!$J5)&lt;&gt;2,"",DAYS360('Prot. TLD - Sperafico'!$I5,'Prot. TLD - Sperafico'!$J5,FALSE))</f>
        <v/>
      </c>
      <c r="M5" s="6"/>
      <c r="N5" s="6" t="s">
        <v>256</v>
      </c>
    </row>
    <row r="6" spans="1:14" ht="33">
      <c r="A6" s="52" t="s">
        <v>88</v>
      </c>
      <c r="B6" s="6" t="s">
        <v>257</v>
      </c>
      <c r="C6" s="6" t="s">
        <v>46</v>
      </c>
      <c r="D6" s="6" t="s">
        <v>4</v>
      </c>
      <c r="E6" s="6" t="s">
        <v>5</v>
      </c>
      <c r="F6" s="7">
        <v>45924</v>
      </c>
      <c r="G6" s="7"/>
      <c r="H6" s="44"/>
      <c r="I6" s="8"/>
      <c r="J6" s="7"/>
      <c r="K6" s="14" t="str">
        <f>IFERROR(IF(ControladorDeProjetos36731112[[#This Row],[Duração Real (em dias)]]=0,"",IF(ABS((ControladorDeProjetos36731112[[#This Row],[Duração Real (em dias)]]-ControladorDeProjetos36731112[[#This Row],[Duração Estimada (em dias)]])/ControladorDeProjetos36731112[[#This Row],[Duração Estimada (em dias)]])&gt;Sinalizador_Porcentagem,1,0)),"")</f>
        <v/>
      </c>
      <c r="L6" s="9" t="str">
        <f>IF(COUNTA('Prot. TLD - Sperafico'!$I6,'Prot. TLD - Sperafico'!$J6)&lt;&gt;2,"",DAYS360('Prot. TLD - Sperafico'!$I6,'Prot. TLD - Sperafico'!$J6,FALSE))</f>
        <v/>
      </c>
      <c r="M6" s="6"/>
      <c r="N6" s="6" t="s">
        <v>256</v>
      </c>
    </row>
    <row r="7" spans="1:14" ht="49.5" customHeight="1">
      <c r="A7" s="52" t="s">
        <v>88</v>
      </c>
      <c r="B7" s="6" t="s">
        <v>258</v>
      </c>
      <c r="C7" s="105" t="s">
        <v>259</v>
      </c>
      <c r="D7" s="6" t="s">
        <v>15</v>
      </c>
      <c r="E7" s="6" t="s">
        <v>16</v>
      </c>
      <c r="F7" s="7">
        <v>45980</v>
      </c>
      <c r="G7" s="7"/>
      <c r="H7" s="44"/>
      <c r="I7" s="8"/>
      <c r="J7" s="7"/>
      <c r="K7" s="14"/>
      <c r="L7" s="9"/>
      <c r="M7" s="6"/>
      <c r="N7" s="6" t="s">
        <v>256</v>
      </c>
    </row>
    <row r="8" spans="1:14" ht="16.5">
      <c r="A8" s="39"/>
      <c r="B8" s="6"/>
      <c r="D8" s="6"/>
      <c r="E8" s="6"/>
      <c r="F8" s="7"/>
      <c r="G8" s="7"/>
      <c r="H8" s="44" t="str">
        <f>IF(COUNTA('Prot. TLD - Sperafico'!$F8,'Prot. TLD - Sperafico'!$G8)&lt;&gt;2,"",DAYS360('Prot. TLD - Sperafico'!$F8,'Prot. TLD - Sperafico'!$G8,FALSE))</f>
        <v/>
      </c>
      <c r="I8" s="8"/>
      <c r="J8" s="7"/>
      <c r="K8" s="14" t="str">
        <f>IFERROR(IF(ControladorDeProjetos36731112[[#This Row],[Duração Real (em dias)]]=0,"",IF(ABS((ControladorDeProjetos36731112[[#This Row],[Duração Real (em dias)]]-ControladorDeProjetos36731112[[#This Row],[Duração Estimada (em dias)]])/ControladorDeProjetos36731112[[#This Row],[Duração Estimada (em dias)]])&gt;Sinalizador_Porcentagem,1,0)),"")</f>
        <v/>
      </c>
      <c r="L8" s="9" t="str">
        <f>IF(COUNTA('Prot. TLD - Sperafico'!$I8,'Prot. TLD - Sperafico'!$J8)&lt;&gt;2,"",DAYS360('Prot. TLD - Sperafico'!$I8,'Prot. TLD - Sperafico'!$J8,FALSE))</f>
        <v/>
      </c>
      <c r="M8" s="6"/>
      <c r="N8" s="6"/>
    </row>
    <row r="9" spans="1:14" ht="16.5">
      <c r="A9" s="39"/>
      <c r="B9" s="6"/>
      <c r="D9" s="6"/>
      <c r="E9" s="6"/>
      <c r="F9" s="7"/>
      <c r="G9" s="7"/>
      <c r="H9" s="44" t="str">
        <f>IF(COUNTA('Prot. TLD - Sperafico'!$F9,'Prot. TLD - Sperafico'!$G9)&lt;&gt;2,"",DAYS360('Prot. TLD - Sperafico'!$F9,'Prot. TLD - Sperafico'!$G9,FALSE))</f>
        <v/>
      </c>
      <c r="I9" s="8"/>
      <c r="J9" s="7"/>
      <c r="K9" s="14" t="str">
        <f>IFERROR(IF(ControladorDeProjetos36731112[[#This Row],[Duração Real (em dias)]]=0,"",IF(ABS((ControladorDeProjetos36731112[[#This Row],[Duração Real (em dias)]]-ControladorDeProjetos36731112[[#This Row],[Duração Estimada (em dias)]])/ControladorDeProjetos36731112[[#This Row],[Duração Estimada (em dias)]])&gt;Sinalizador_Porcentagem,1,0)),"")</f>
        <v/>
      </c>
      <c r="L9" s="9" t="str">
        <f>IF(COUNTA('Prot. TLD - Sperafico'!$I9,'Prot. TLD - Sperafico'!$J9)&lt;&gt;2,"",DAYS360('Prot. TLD - Sperafico'!$I9,'Prot. TLD - Sperafico'!$J9,FALSE))</f>
        <v/>
      </c>
      <c r="M9" s="6"/>
      <c r="N9" s="6"/>
    </row>
    <row r="10" spans="1:14" ht="16.5">
      <c r="A10" s="39"/>
      <c r="B10" s="6"/>
      <c r="C10" s="6"/>
      <c r="D10" s="6"/>
      <c r="E10" s="67"/>
      <c r="F10" s="7"/>
      <c r="G10" s="7"/>
      <c r="H10" s="44" t="str">
        <f>IF(COUNTA('Prot. TLD - Sperafico'!$F10,'Prot. TLD - Sperafico'!$G10)&lt;&gt;2,"",DAYS360('Prot. TLD - Sperafico'!$F10,'Prot. TLD - Sperafico'!$G10,FALSE))</f>
        <v/>
      </c>
      <c r="I10" s="8"/>
      <c r="J10" s="7"/>
      <c r="K10" s="14" t="str">
        <f>IFERROR(IF(ControladorDeProjetos36731112[[#This Row],[Duração Real (em dias)]]=0,"",IF(ABS((ControladorDeProjetos36731112[[#This Row],[Duração Real (em dias)]]-ControladorDeProjetos36731112[[#This Row],[Duração Estimada (em dias)]])/ControladorDeProjetos36731112[[#This Row],[Duração Estimada (em dias)]])&gt;Sinalizador_Porcentagem,1,0)),"")</f>
        <v/>
      </c>
      <c r="L10" s="9" t="str">
        <f>IF(COUNTA('Prot. TLD - Sperafico'!$I10,'Prot. TLD - Sperafico'!$J10)&lt;&gt;2,"",DAYS360('Prot. TLD - Sperafico'!$I10,'Prot. TLD - Sperafico'!$J10,FALSE))</f>
        <v/>
      </c>
      <c r="M10" s="6"/>
      <c r="N10" s="6"/>
    </row>
    <row r="11" spans="1:14" ht="16.5">
      <c r="A11" s="39"/>
      <c r="B11" s="6"/>
      <c r="C11" s="6"/>
      <c r="D11" s="6"/>
      <c r="E11" s="68"/>
      <c r="F11" s="7"/>
      <c r="G11" s="7"/>
      <c r="H11" s="44" t="str">
        <f>IF(COUNTA('Prot. TLD - Sperafico'!$F11,'Prot. TLD - Sperafico'!$G11)&lt;&gt;2,"",DAYS360('Prot. TLD - Sperafico'!$F11,'Prot. TLD - Sperafico'!$G11,FALSE))</f>
        <v/>
      </c>
      <c r="I11" s="8"/>
      <c r="J11" s="7"/>
      <c r="K11" s="14" t="str">
        <f>IFERROR(IF(ControladorDeProjetos36731112[[#This Row],[Duração Real (em dias)]]=0,"",IF(ABS((ControladorDeProjetos36731112[[#This Row],[Duração Real (em dias)]]-ControladorDeProjetos36731112[[#This Row],[Duração Estimada (em dias)]])/ControladorDeProjetos36731112[[#This Row],[Duração Estimada (em dias)]])&gt;Sinalizador_Porcentagem,1,0)),"")</f>
        <v/>
      </c>
      <c r="L11" s="9" t="str">
        <f>IF(COUNTA('Prot. TLD - Sperafico'!$I11,'Prot. TLD - Sperafico'!$J11)&lt;&gt;2,"",DAYS360('Prot. TLD - Sperafico'!$I11,'Prot. TLD - Sperafico'!$J11,FALSE))</f>
        <v/>
      </c>
      <c r="M11" s="26"/>
      <c r="N11" s="6"/>
    </row>
    <row r="12" spans="1:14" ht="16.5">
      <c r="A12" s="39"/>
      <c r="B12" s="6"/>
      <c r="C12" s="6"/>
      <c r="D12" s="6"/>
      <c r="E12" s="6"/>
      <c r="F12" s="7"/>
      <c r="G12" s="7"/>
      <c r="H12" s="44" t="str">
        <f>IF(COUNTA('Prot. TLD - Sperafico'!$F12,'Prot. TLD - Sperafico'!$G12)&lt;&gt;2,"",DAYS360('Prot. TLD - Sperafico'!$F12,'Prot. TLD - Sperafico'!$G12,FALSE))</f>
        <v/>
      </c>
      <c r="I12" s="8"/>
      <c r="J12" s="7"/>
      <c r="K12" s="14" t="str">
        <f>IFERROR(IF(ControladorDeProjetos36731112[[#This Row],[Duração Real (em dias)]]=0,"",IF(ABS((ControladorDeProjetos36731112[[#This Row],[Duração Real (em dias)]]-ControladorDeProjetos36731112[[#This Row],[Duração Estimada (em dias)]])/ControladorDeProjetos36731112[[#This Row],[Duração Estimada (em dias)]])&gt;Sinalizador_Porcentagem,1,0)),"")</f>
        <v/>
      </c>
      <c r="L12" s="9" t="str">
        <f>IF(COUNTA('Prot. TLD - Sperafico'!$I12,'Prot. TLD - Sperafico'!$J12)&lt;&gt;2,"",DAYS360('Prot. TLD - Sperafico'!$I12,'Prot. TLD - Sperafico'!$J12,FALSE))</f>
        <v/>
      </c>
      <c r="M12" s="6"/>
      <c r="N12" s="6"/>
    </row>
    <row r="13" spans="1:14" ht="16.5">
      <c r="A13" s="40"/>
      <c r="B13" s="10"/>
      <c r="C13" s="10"/>
      <c r="D13" s="10"/>
      <c r="E13" s="6"/>
      <c r="F13" s="11"/>
      <c r="G13" s="11"/>
      <c r="H13" s="44" t="str">
        <f>IF(COUNTA('Prot. TLD - Sperafico'!$F13,'Prot. TLD - Sperafico'!$G13)&lt;&gt;2,"",DAYS360('Prot. TLD - Sperafico'!$F13,'Prot. TLD - Sperafico'!$G13,FALSE))</f>
        <v/>
      </c>
      <c r="I13" s="8"/>
      <c r="J13" s="11"/>
      <c r="K13" s="14" t="str">
        <f>IFERROR(IF(ControladorDeProjetos36731112[[#This Row],[Duração Real (em dias)]]=0,"",IF(ABS((ControladorDeProjetos36731112[[#This Row],[Duração Real (em dias)]]-ControladorDeProjetos36731112[[#This Row],[Duração Estimada (em dias)]])/ControladorDeProjetos36731112[[#This Row],[Duração Estimada (em dias)]])&gt;Sinalizador_Porcentagem,1,0)),"")</f>
        <v/>
      </c>
      <c r="L13" s="12" t="str">
        <f>IF(COUNTA('Prot. TLD - Sperafico'!$I13,'Prot. TLD - Sperafico'!$J13)&lt;&gt;2,"",DAYS360('Prot. TLD - Sperafico'!$I13,'Prot. TLD - Sperafico'!$J13,FALSE))</f>
        <v/>
      </c>
      <c r="M13" s="10"/>
      <c r="N13" s="10"/>
    </row>
    <row r="14" spans="1:14" ht="16.5">
      <c r="A14" s="40"/>
      <c r="B14" s="10"/>
      <c r="C14" s="10"/>
      <c r="D14" s="10"/>
      <c r="E14" s="6"/>
      <c r="F14" s="11"/>
      <c r="G14" s="11"/>
      <c r="H14" s="44" t="str">
        <f>IF(COUNTA('Prot. TLD - Sperafico'!$F14,'Prot. TLD - Sperafico'!$G14)&lt;&gt;2,"",DAYS360('Prot. TLD - Sperafico'!$F14,'Prot. TLD - Sperafico'!$G14,FALSE))</f>
        <v/>
      </c>
      <c r="I14" s="8"/>
      <c r="J14" s="11"/>
      <c r="K14" s="14" t="str">
        <f>IFERROR(IF(ControladorDeProjetos36731112[[#This Row],[Duração Real (em dias)]]=0,"",IF(ABS((ControladorDeProjetos36731112[[#This Row],[Duração Real (em dias)]]-ControladorDeProjetos36731112[[#This Row],[Duração Estimada (em dias)]])/ControladorDeProjetos36731112[[#This Row],[Duração Estimada (em dias)]])&gt;Sinalizador_Porcentagem,1,0)),"")</f>
        <v/>
      </c>
      <c r="L14" s="12" t="str">
        <f>IF(COUNTA('Prot. TLD - Sperafico'!$I14,'Prot. TLD - Sperafico'!$J14)&lt;&gt;2,"",DAYS360('Prot. TLD - Sperafico'!$I14,'Prot. TLD - Sperafico'!$J14,FALSE))</f>
        <v/>
      </c>
      <c r="M14" s="10"/>
      <c r="N14" s="10"/>
    </row>
    <row r="15" spans="1:14" ht="16.5">
      <c r="A15" s="41"/>
      <c r="B15" s="5"/>
      <c r="C15" s="5"/>
      <c r="D15" s="5"/>
      <c r="E15" s="5"/>
      <c r="F15" s="11"/>
      <c r="G15" s="11"/>
      <c r="H15" s="44" t="str">
        <f>IF(COUNTA('Prot. TLD - Sperafico'!$F15,'Prot. TLD - Sperafico'!$G15)&lt;&gt;2,"",DAYS360('Prot. TLD - Sperafico'!$F15,'Prot. TLD - Sperafico'!$G15,FALSE))</f>
        <v/>
      </c>
      <c r="I15" s="8"/>
      <c r="J15" s="11"/>
      <c r="K15" s="14" t="str">
        <f>IFERROR(IF(ControladorDeProjetos36731112[[#This Row],[Duração Real (em dias)]]=0,"",IF(ABS((ControladorDeProjetos36731112[[#This Row],[Duração Real (em dias)]]-ControladorDeProjetos36731112[[#This Row],[Duração Estimada (em dias)]])/ControladorDeProjetos36731112[[#This Row],[Duração Estimada (em dias)]])&gt;Sinalizador_Porcentagem,1,0)),"")</f>
        <v/>
      </c>
      <c r="L15" s="12" t="str">
        <f>IF(COUNTA('Prot. TLD - Sperafico'!$I15,'Prot. TLD - Sperafico'!$J15)&lt;&gt;2,"",DAYS360('Prot. TLD - Sperafico'!$I15,'Prot. TLD - Sperafico'!$J15,FALSE))</f>
        <v/>
      </c>
      <c r="M15" s="5"/>
      <c r="N15" s="5"/>
    </row>
  </sheetData>
  <mergeCells count="2">
    <mergeCell ref="A1:F1"/>
    <mergeCell ref="I1:N3"/>
  </mergeCells>
  <conditionalFormatting sqref="A5:A7">
    <cfRule type="containsText" dxfId="90" priority="1" operator="containsText" text="ANÁLISE">
      <formula>NOT(ISERROR(SEARCH("ANÁLISE",A5)))</formula>
    </cfRule>
    <cfRule type="containsText" dxfId="89" priority="2" operator="containsText" text="ANÁL">
      <formula>NOT(ISERROR(SEARCH("ANÁL",A5)))</formula>
    </cfRule>
    <cfRule type="containsText" dxfId="88" priority="3" operator="containsText" text="CANC">
      <formula>NOT(ISERROR(SEARCH("CANC",A5)))</formula>
    </cfRule>
    <cfRule type="containsText" dxfId="87" priority="4" operator="containsText" text="APRO">
      <formula>NOT(ISERROR(SEARCH("APRO",A5)))</formula>
    </cfRule>
    <cfRule type="containsText" dxfId="86" priority="5" operator="containsText" text="ANÁL">
      <formula>NOT(ISERROR(SEARCH("ANÁL",A5)))</formula>
    </cfRule>
    <cfRule type="containsText" dxfId="85" priority="6" operator="containsText" text="CANC.">
      <formula>NOT(ISERROR(SEARCH("CANC.",A5)))</formula>
    </cfRule>
    <cfRule type="containsText" dxfId="84" priority="7" operator="containsText" text="APRO.">
      <formula>NOT(ISERROR(SEARCH("APRO.",A5)))</formula>
    </cfRule>
  </conditionalFormatting>
  <conditionalFormatting sqref="L5:L15">
    <cfRule type="expression" dxfId="83" priority="8">
      <formula>(ABS((L5-H5))/H5)&gt;Sinalizador_Porcentagem</formula>
    </cfRule>
  </conditionalFormatting>
  <dataValidations count="15">
    <dataValidation type="list" allowBlank="1" showInputMessage="1" showErrorMessage="1" sqref="A5:A7" xr:uid="{6C636DE8-123A-4799-B3D0-EFAD6D22AB9F}">
      <formula1>"APRO, ANÁL, CANC,"</formula1>
    </dataValidation>
    <dataValidation allowBlank="1" showInputMessage="1" showErrorMessage="1" prompt="Porcentagem acima/abaixo personalizáveis usadas para realçar o trabalho real em horas e dias na tabela de projetos que excedam ou fiquem abaixo deste número" sqref="D2" xr:uid="{00F80742-98D0-4985-A44E-7142530BAAB9}"/>
    <dataValidation type="list" allowBlank="1" showInputMessage="1" showErrorMessage="1" error="Selecione uma categoria na lista ou crie uma nova categoria para exibir nesta lista da planilha Configuração." sqref="D5:D15" xr:uid="{FEEBF6B0-852E-43D1-99AE-8880060B148E}">
      <formula1>Categoria_Lista</formula1>
    </dataValidation>
    <dataValidation type="list" allowBlank="1" showInputMessage="1" showErrorMessage="1" error="Selecione um funcionário na lista ou crie um novo funcionário para exibir nesta lista da planilha Configuração." sqref="E5:E15" xr:uid="{AF0616E7-9E73-461E-8A5E-A55576591D60}">
      <formula1>Funcionário_Lista</formula1>
    </dataValidation>
    <dataValidation allowBlank="1" showInputMessage="1" showErrorMessage="1" prompt="Insira os nomes de projetos nesta coluna" sqref="A4:C4" xr:uid="{A082E120-5E69-44B6-9769-E5A599A06B18}"/>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21136153-6733-41EB-A409-359B1D370106}"/>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EDDD04A4-2BFB-4BF8-A4B3-D5397A76CB6D}"/>
    <dataValidation allowBlank="1" showInputMessage="1" showErrorMessage="1" prompt="Insira a data de início estimada do projeto nesta coluna" sqref="F4" xr:uid="{279FBD7B-1A59-42E6-AA88-FE1EEBB2CE75}"/>
    <dataValidation allowBlank="1" showInputMessage="1" showErrorMessage="1" prompt="Insira a data de término estimada do projeto nesta coluna" sqref="G4" xr:uid="{4AB003A2-FDEC-4A20-9511-DF0773DA4D04}"/>
    <dataValidation allowBlank="1" showInputMessage="1" showErrorMessage="1" prompt="Insira a duração estimada do projeto em dias nesta coluna" sqref="H4" xr:uid="{A5F7BA11-BA8D-4A5C-BC21-622DE46F7CF4}"/>
    <dataValidation allowBlank="1" showInputMessage="1" showErrorMessage="1" prompt="Insira a data de início real do projeto nesta coluna" sqref="I4" xr:uid="{49FF9675-84A3-4079-A8E9-029A0C2D8CCC}"/>
    <dataValidation allowBlank="1" showInputMessage="1" showErrorMessage="1" prompt="Insira a data de término real do projeto nesta coluna" sqref="J4" xr:uid="{AD34505A-8BE0-4CE2-8550-245AB5312F71}"/>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0CF574BD-E7C2-4DA2-9D8D-0C2E3EA2CE08}"/>
    <dataValidation allowBlank="1" showInputMessage="1" showErrorMessage="1" prompt="Insira a duração real de projeto em dias. Valores que atendem aos critérios Acima/Abaixo são destacados em negrito vermelho e geram um ícone de sinalizador na coluna M à esquerda" sqref="L4" xr:uid="{69FC55A7-9C1B-4DB0-9479-B7F8B9632867}"/>
    <dataValidation allowBlank="1" showInputMessage="1" showErrorMessage="1" prompt="Insira anotações para os projetos nesta coluna" sqref="M4:N4" xr:uid="{EB525F35-19AE-40E7-96D9-A0E454EBF101}"/>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FF5A89C8-4C8B-4B21-A0E4-63C13B11F898}">
            <x14:iconSet custom="1">
              <x14:cfvo type="percent">
                <xm:f>0</xm:f>
              </x14:cfvo>
              <x14:cfvo type="num">
                <xm:f>0</xm:f>
              </x14:cfvo>
              <x14:cfvo type="num">
                <xm:f>1</xm:f>
              </x14:cfvo>
              <x14:cfIcon iconSet="NoIcons" iconId="0"/>
              <x14:cfIcon iconSet="NoIcons" iconId="0"/>
              <x14:cfIcon iconSet="3Flags" iconId="0"/>
            </x14:iconSet>
          </x14:cfRule>
          <xm:sqref>K5:K15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5260B-F7A8-4916-BF1F-9930E3C9DF50}">
  <sheetPr>
    <tabColor theme="8"/>
    <pageSetUpPr autoPageBreaks="0" fitToPage="1"/>
  </sheetPr>
  <dimension ref="A1:N15"/>
  <sheetViews>
    <sheetView showGridLines="0" topLeftCell="D1" zoomScale="110" zoomScaleNormal="110" workbookViewId="0">
      <pane ySplit="4" topLeftCell="A5" activePane="bottomLeft" state="frozen"/>
      <selection pane="bottomLeft" activeCell="J5" sqref="J5"/>
    </sheetView>
  </sheetViews>
  <sheetFormatPr defaultColWidth="9" defaultRowHeight="30" customHeight="1"/>
  <cols>
    <col min="1" max="1" width="23.5" style="31" customWidth="1"/>
    <col min="2" max="2" width="23.75" customWidth="1"/>
    <col min="3" max="3" width="20.625" customWidth="1"/>
    <col min="4" max="4" width="16.625" customWidth="1"/>
    <col min="5" max="5" width="13.75" style="1" customWidth="1"/>
    <col min="6" max="6" width="14.375" style="1" customWidth="1"/>
    <col min="7" max="7" width="16.375" customWidth="1"/>
    <col min="8" max="8" width="23.125" style="34" customWidth="1"/>
    <col min="9" max="9" width="14.875" style="1" customWidth="1"/>
    <col min="10" max="10" width="14.625" style="1" customWidth="1"/>
    <col min="11" max="11" width="13.625" customWidth="1"/>
    <col min="12" max="12" width="28.25" customWidth="1"/>
    <col min="13" max="13" width="24" customWidth="1"/>
    <col min="14" max="14" width="25.625" customWidth="1"/>
    <col min="15" max="15" width="2.625" customWidth="1"/>
  </cols>
  <sheetData>
    <row r="1" spans="1:14" ht="65.099999999999994" customHeight="1">
      <c r="A1" s="131" t="s">
        <v>260</v>
      </c>
      <c r="B1" s="131"/>
      <c r="C1" s="131"/>
      <c r="D1" s="131"/>
      <c r="E1" s="131"/>
      <c r="F1" s="131"/>
      <c r="G1" s="1" t="s">
        <v>219</v>
      </c>
      <c r="H1" s="34" t="s">
        <v>220</v>
      </c>
      <c r="I1" s="130"/>
      <c r="J1" s="130"/>
      <c r="K1" s="130"/>
      <c r="L1" s="130"/>
      <c r="M1" s="130"/>
      <c r="N1" s="130"/>
    </row>
    <row r="2" spans="1:14" ht="20.25" customHeight="1">
      <c r="A2" s="48"/>
      <c r="B2" s="4"/>
      <c r="C2" s="3" t="s">
        <v>26</v>
      </c>
      <c r="D2" s="20"/>
      <c r="H2" s="92"/>
      <c r="I2" s="130"/>
      <c r="J2" s="130"/>
      <c r="K2" s="130"/>
      <c r="L2" s="130"/>
      <c r="M2" s="130"/>
      <c r="N2" s="130"/>
    </row>
    <row r="3" spans="1:14" ht="20.25" customHeight="1">
      <c r="I3" s="130"/>
      <c r="J3" s="130"/>
      <c r="K3" s="130"/>
      <c r="L3" s="130"/>
      <c r="M3" s="130"/>
      <c r="N3" s="130"/>
    </row>
    <row r="4" spans="1:14" ht="54.95" customHeight="1">
      <c r="A4" s="35" t="s">
        <v>126</v>
      </c>
      <c r="B4" s="15" t="s">
        <v>221</v>
      </c>
      <c r="C4" s="15" t="s">
        <v>29</v>
      </c>
      <c r="D4" s="15" t="s">
        <v>1</v>
      </c>
      <c r="E4" s="15" t="s">
        <v>30</v>
      </c>
      <c r="F4" s="16" t="s">
        <v>31</v>
      </c>
      <c r="G4" s="16" t="s">
        <v>32</v>
      </c>
      <c r="H4" s="29" t="s">
        <v>33</v>
      </c>
      <c r="I4" s="18" t="s">
        <v>34</v>
      </c>
      <c r="J4" s="16" t="s">
        <v>35</v>
      </c>
      <c r="K4" s="23" t="s">
        <v>36</v>
      </c>
      <c r="L4" s="19" t="s">
        <v>37</v>
      </c>
      <c r="M4" s="15" t="s">
        <v>38</v>
      </c>
      <c r="N4" s="15" t="s">
        <v>39</v>
      </c>
    </row>
    <row r="5" spans="1:14" ht="66">
      <c r="A5" s="52" t="s">
        <v>88</v>
      </c>
      <c r="B5" s="6" t="s">
        <v>261</v>
      </c>
      <c r="C5" s="102" t="s">
        <v>262</v>
      </c>
      <c r="D5" s="101" t="s">
        <v>4</v>
      </c>
      <c r="E5" s="6" t="s">
        <v>5</v>
      </c>
      <c r="F5" s="7">
        <v>45964</v>
      </c>
      <c r="G5" s="7">
        <v>45994</v>
      </c>
      <c r="H5" s="44">
        <f>IF(COUNTA('Prot. TLD - 13 de Abril'!$F5,'Prot. TLD - 13 de Abril'!$G5)&lt;&gt;2,"",DAYS360('Prot. TLD - 13 de Abril'!$F5,'Prot. TLD - 13 de Abril'!$G5,FALSE))</f>
        <v>30</v>
      </c>
      <c r="I5" s="8">
        <v>46329</v>
      </c>
      <c r="J5" s="7"/>
      <c r="K5" s="14" t="str">
        <f>IFERROR(IF(ControladorDeProjetos367311121315[[#This Row],[Duração Real (em dias)]]=0,"",IF(ABS((ControladorDeProjetos367311121315[[#This Row],[Duração Real (em dias)]]-ControladorDeProjetos367311121315[[#This Row],[Duração Estimada (em dias)]])/ControladorDeProjetos367311121315[[#This Row],[Duração Estimada (em dias)]])&gt;Sinalizador_Porcentagem,1,0)),"")</f>
        <v/>
      </c>
      <c r="L5" s="9"/>
      <c r="M5" s="6"/>
      <c r="N5" s="6" t="s">
        <v>256</v>
      </c>
    </row>
    <row r="6" spans="1:14" ht="16.5">
      <c r="A6" s="52"/>
      <c r="B6" s="6"/>
      <c r="C6" s="6"/>
      <c r="D6" s="6"/>
      <c r="E6" s="6"/>
      <c r="F6" s="7"/>
      <c r="G6" s="7"/>
      <c r="H6" s="44"/>
      <c r="I6" s="8"/>
      <c r="J6" s="7"/>
      <c r="K6" s="14"/>
      <c r="L6" s="9"/>
      <c r="M6" s="6"/>
      <c r="N6" s="6"/>
    </row>
    <row r="7" spans="1:14" ht="16.5">
      <c r="A7" s="52"/>
      <c r="B7" s="6"/>
      <c r="C7" s="6"/>
      <c r="D7" s="6"/>
      <c r="E7" s="6"/>
      <c r="F7" s="7"/>
      <c r="G7" s="7"/>
      <c r="H7" s="44"/>
      <c r="I7" s="8"/>
      <c r="J7" s="7"/>
      <c r="K7" s="14"/>
      <c r="L7" s="9"/>
      <c r="M7" s="6"/>
      <c r="N7" s="6"/>
    </row>
    <row r="8" spans="1:14" ht="16.5">
      <c r="A8" s="39"/>
      <c r="B8" s="6"/>
      <c r="C8" s="6"/>
      <c r="D8" s="6"/>
      <c r="E8" s="6"/>
      <c r="F8" s="7"/>
      <c r="G8" s="7"/>
      <c r="H8" s="44" t="str">
        <f>IF(COUNTA('Prot. TLD - 13 de Abril'!$F8,'Prot. TLD - 13 de Abril'!$G8)&lt;&gt;2,"",DAYS360('Prot. TLD - 13 de Abril'!$F8,'Prot. TLD - 13 de Abril'!$G8,FALSE))</f>
        <v/>
      </c>
      <c r="I8" s="8"/>
      <c r="J8" s="7"/>
      <c r="K8" s="14" t="str">
        <f>IFERROR(IF(ControladorDeProjetos367311121315[[#This Row],[Duração Real (em dias)]]=0,"",IF(ABS((ControladorDeProjetos367311121315[[#This Row],[Duração Real (em dias)]]-ControladorDeProjetos367311121315[[#This Row],[Duração Estimada (em dias)]])/ControladorDeProjetos367311121315[[#This Row],[Duração Estimada (em dias)]])&gt;Sinalizador_Porcentagem,1,0)),"")</f>
        <v/>
      </c>
      <c r="L8" s="9" t="str">
        <f>IF(COUNTA('Prot. TLD - 13 de Abril'!$I8,'Prot. TLD - 13 de Abril'!$J8)&lt;&gt;2,"",DAYS360('Prot. TLD - 13 de Abril'!$I8,'Prot. TLD - 13 de Abril'!$J8,FALSE))</f>
        <v/>
      </c>
      <c r="M8" s="6"/>
      <c r="N8" s="6"/>
    </row>
    <row r="9" spans="1:14" ht="16.5">
      <c r="A9" s="39"/>
      <c r="B9" s="6"/>
      <c r="C9" s="6"/>
      <c r="D9" s="6"/>
      <c r="E9" s="6"/>
      <c r="F9" s="7"/>
      <c r="G9" s="7"/>
      <c r="H9" s="44" t="str">
        <f>IF(COUNTA('Prot. TLD - 13 de Abril'!$F9,'Prot. TLD - 13 de Abril'!$G9)&lt;&gt;2,"",DAYS360('Prot. TLD - 13 de Abril'!$F9,'Prot. TLD - 13 de Abril'!$G9,FALSE))</f>
        <v/>
      </c>
      <c r="I9" s="8"/>
      <c r="J9" s="7"/>
      <c r="K9" s="14" t="str">
        <f>IFERROR(IF(ControladorDeProjetos367311121315[[#This Row],[Duração Real (em dias)]]=0,"",IF(ABS((ControladorDeProjetos367311121315[[#This Row],[Duração Real (em dias)]]-ControladorDeProjetos367311121315[[#This Row],[Duração Estimada (em dias)]])/ControladorDeProjetos367311121315[[#This Row],[Duração Estimada (em dias)]])&gt;Sinalizador_Porcentagem,1,0)),"")</f>
        <v/>
      </c>
      <c r="L9" s="9" t="str">
        <f>IF(COUNTA('Prot. TLD - 13 de Abril'!$I9,'Prot. TLD - 13 de Abril'!$J9)&lt;&gt;2,"",DAYS360('Prot. TLD - 13 de Abril'!$I9,'Prot. TLD - 13 de Abril'!$J9,FALSE))</f>
        <v/>
      </c>
      <c r="M9" s="6"/>
      <c r="N9" s="6"/>
    </row>
    <row r="10" spans="1:14" ht="16.5">
      <c r="A10" s="39"/>
      <c r="B10" s="6"/>
      <c r="C10" s="6"/>
      <c r="D10" s="6"/>
      <c r="E10" s="67"/>
      <c r="F10" s="7"/>
      <c r="G10" s="7"/>
      <c r="H10" s="44" t="str">
        <f>IF(COUNTA('Prot. TLD - 13 de Abril'!$F10,'Prot. TLD - 13 de Abril'!$G10)&lt;&gt;2,"",DAYS360('Prot. TLD - 13 de Abril'!$F10,'Prot. TLD - 13 de Abril'!$G10,FALSE))</f>
        <v/>
      </c>
      <c r="I10" s="8"/>
      <c r="J10" s="7"/>
      <c r="K10" s="14" t="str">
        <f>IFERROR(IF(ControladorDeProjetos367311121315[[#This Row],[Duração Real (em dias)]]=0,"",IF(ABS((ControladorDeProjetos367311121315[[#This Row],[Duração Real (em dias)]]-ControladorDeProjetos367311121315[[#This Row],[Duração Estimada (em dias)]])/ControladorDeProjetos367311121315[[#This Row],[Duração Estimada (em dias)]])&gt;Sinalizador_Porcentagem,1,0)),"")</f>
        <v/>
      </c>
      <c r="L10" s="9" t="str">
        <f>IF(COUNTA('Prot. TLD - 13 de Abril'!$I10,'Prot. TLD - 13 de Abril'!$J10)&lt;&gt;2,"",DAYS360('Prot. TLD - 13 de Abril'!$I10,'Prot. TLD - 13 de Abril'!$J10,FALSE))</f>
        <v/>
      </c>
      <c r="M10" s="6"/>
      <c r="N10" s="6"/>
    </row>
    <row r="11" spans="1:14" ht="16.5">
      <c r="A11" s="39"/>
      <c r="B11" s="6"/>
      <c r="C11" s="6"/>
      <c r="D11" s="6"/>
      <c r="E11" s="68"/>
      <c r="F11" s="7"/>
      <c r="G11" s="7"/>
      <c r="H11" s="44" t="str">
        <f>IF(COUNTA('Prot. TLD - 13 de Abril'!$F11,'Prot. TLD - 13 de Abril'!$G11)&lt;&gt;2,"",DAYS360('Prot. TLD - 13 de Abril'!$F11,'Prot. TLD - 13 de Abril'!$G11,FALSE))</f>
        <v/>
      </c>
      <c r="I11" s="8"/>
      <c r="J11" s="7"/>
      <c r="K11" s="14" t="str">
        <f>IFERROR(IF(ControladorDeProjetos367311121315[[#This Row],[Duração Real (em dias)]]=0,"",IF(ABS((ControladorDeProjetos367311121315[[#This Row],[Duração Real (em dias)]]-ControladorDeProjetos367311121315[[#This Row],[Duração Estimada (em dias)]])/ControladorDeProjetos367311121315[[#This Row],[Duração Estimada (em dias)]])&gt;Sinalizador_Porcentagem,1,0)),"")</f>
        <v/>
      </c>
      <c r="L11" s="9" t="str">
        <f>IF(COUNTA('Prot. TLD - 13 de Abril'!$I11,'Prot. TLD - 13 de Abril'!$J11)&lt;&gt;2,"",DAYS360('Prot. TLD - 13 de Abril'!$I11,'Prot. TLD - 13 de Abril'!$J11,FALSE))</f>
        <v/>
      </c>
      <c r="M11" s="26"/>
      <c r="N11" s="6"/>
    </row>
    <row r="12" spans="1:14" ht="16.5">
      <c r="A12" s="39"/>
      <c r="B12" s="6"/>
      <c r="C12" s="6"/>
      <c r="D12" s="6"/>
      <c r="E12" s="6"/>
      <c r="F12" s="7"/>
      <c r="G12" s="7"/>
      <c r="H12" s="44" t="str">
        <f>IF(COUNTA('Prot. TLD - 13 de Abril'!$F12,'Prot. TLD - 13 de Abril'!$G12)&lt;&gt;2,"",DAYS360('Prot. TLD - 13 de Abril'!$F12,'Prot. TLD - 13 de Abril'!$G12,FALSE))</f>
        <v/>
      </c>
      <c r="I12" s="8"/>
      <c r="J12" s="7"/>
      <c r="K12" s="14" t="str">
        <f>IFERROR(IF(ControladorDeProjetos367311121315[[#This Row],[Duração Real (em dias)]]=0,"",IF(ABS((ControladorDeProjetos367311121315[[#This Row],[Duração Real (em dias)]]-ControladorDeProjetos367311121315[[#This Row],[Duração Estimada (em dias)]])/ControladorDeProjetos367311121315[[#This Row],[Duração Estimada (em dias)]])&gt;Sinalizador_Porcentagem,1,0)),"")</f>
        <v/>
      </c>
      <c r="L12" s="9" t="str">
        <f>IF(COUNTA('Prot. TLD - 13 de Abril'!$I12,'Prot. TLD - 13 de Abril'!$J12)&lt;&gt;2,"",DAYS360('Prot. TLD - 13 de Abril'!$I12,'Prot. TLD - 13 de Abril'!$J12,FALSE))</f>
        <v/>
      </c>
      <c r="M12" s="6"/>
      <c r="N12" s="6"/>
    </row>
    <row r="13" spans="1:14" ht="16.5">
      <c r="A13" s="40"/>
      <c r="B13" s="10"/>
      <c r="C13" s="10"/>
      <c r="D13" s="10"/>
      <c r="E13" s="6"/>
      <c r="F13" s="11"/>
      <c r="G13" s="11"/>
      <c r="H13" s="44" t="str">
        <f>IF(COUNTA('Prot. TLD - 13 de Abril'!$F13,'Prot. TLD - 13 de Abril'!$G13)&lt;&gt;2,"",DAYS360('Prot. TLD - 13 de Abril'!$F13,'Prot. TLD - 13 de Abril'!$G13,FALSE))</f>
        <v/>
      </c>
      <c r="I13" s="8"/>
      <c r="J13" s="11"/>
      <c r="K13" s="14" t="str">
        <f>IFERROR(IF(ControladorDeProjetos367311121315[[#This Row],[Duração Real (em dias)]]=0,"",IF(ABS((ControladorDeProjetos367311121315[[#This Row],[Duração Real (em dias)]]-ControladorDeProjetos367311121315[[#This Row],[Duração Estimada (em dias)]])/ControladorDeProjetos367311121315[[#This Row],[Duração Estimada (em dias)]])&gt;Sinalizador_Porcentagem,1,0)),"")</f>
        <v/>
      </c>
      <c r="L13" s="12" t="str">
        <f>IF(COUNTA('Prot. TLD - 13 de Abril'!$I13,'Prot. TLD - 13 de Abril'!$J13)&lt;&gt;2,"",DAYS360('Prot. TLD - 13 de Abril'!$I13,'Prot. TLD - 13 de Abril'!$J13,FALSE))</f>
        <v/>
      </c>
      <c r="M13" s="10"/>
      <c r="N13" s="10"/>
    </row>
    <row r="14" spans="1:14" ht="16.5">
      <c r="A14" s="40"/>
      <c r="B14" s="10"/>
      <c r="C14" s="10"/>
      <c r="D14" s="10"/>
      <c r="E14" s="6"/>
      <c r="F14" s="11"/>
      <c r="G14" s="11"/>
      <c r="H14" s="44" t="str">
        <f>IF(COUNTA('Prot. TLD - 13 de Abril'!$F14,'Prot. TLD - 13 de Abril'!$G14)&lt;&gt;2,"",DAYS360('Prot. TLD - 13 de Abril'!$F14,'Prot. TLD - 13 de Abril'!$G14,FALSE))</f>
        <v/>
      </c>
      <c r="I14" s="8"/>
      <c r="J14" s="11"/>
      <c r="K14" s="14" t="str">
        <f>IFERROR(IF(ControladorDeProjetos367311121315[[#This Row],[Duração Real (em dias)]]=0,"",IF(ABS((ControladorDeProjetos367311121315[[#This Row],[Duração Real (em dias)]]-ControladorDeProjetos367311121315[[#This Row],[Duração Estimada (em dias)]])/ControladorDeProjetos367311121315[[#This Row],[Duração Estimada (em dias)]])&gt;Sinalizador_Porcentagem,1,0)),"")</f>
        <v/>
      </c>
      <c r="L14" s="12" t="str">
        <f>IF(COUNTA('Prot. TLD - 13 de Abril'!$I14,'Prot. TLD - 13 de Abril'!$J14)&lt;&gt;2,"",DAYS360('Prot. TLD - 13 de Abril'!$I14,'Prot. TLD - 13 de Abril'!$J14,FALSE))</f>
        <v/>
      </c>
      <c r="M14" s="10"/>
      <c r="N14" s="10"/>
    </row>
    <row r="15" spans="1:14" ht="16.5">
      <c r="A15" s="41"/>
      <c r="B15" s="5"/>
      <c r="C15" s="5"/>
      <c r="D15" s="5"/>
      <c r="E15" s="5"/>
      <c r="F15" s="11"/>
      <c r="G15" s="11"/>
      <c r="H15" s="44" t="str">
        <f>IF(COUNTA('Prot. TLD - 13 de Abril'!$F15,'Prot. TLD - 13 de Abril'!$G15)&lt;&gt;2,"",DAYS360('Prot. TLD - 13 de Abril'!$F15,'Prot. TLD - 13 de Abril'!$G15,FALSE))</f>
        <v/>
      </c>
      <c r="I15" s="8"/>
      <c r="J15" s="11"/>
      <c r="K15" s="14" t="str">
        <f>IFERROR(IF(ControladorDeProjetos367311121315[[#This Row],[Duração Real (em dias)]]=0,"",IF(ABS((ControladorDeProjetos367311121315[[#This Row],[Duração Real (em dias)]]-ControladorDeProjetos367311121315[[#This Row],[Duração Estimada (em dias)]])/ControladorDeProjetos367311121315[[#This Row],[Duração Estimada (em dias)]])&gt;Sinalizador_Porcentagem,1,0)),"")</f>
        <v/>
      </c>
      <c r="L15" s="12" t="str">
        <f>IF(COUNTA('Prot. TLD - 13 de Abril'!$I15,'Prot. TLD - 13 de Abril'!$J15)&lt;&gt;2,"",DAYS360('Prot. TLD - 13 de Abril'!$I15,'Prot. TLD - 13 de Abril'!$J15,FALSE))</f>
        <v/>
      </c>
      <c r="M15" s="5"/>
      <c r="N15" s="5"/>
    </row>
  </sheetData>
  <mergeCells count="2">
    <mergeCell ref="A1:F1"/>
    <mergeCell ref="I1:N3"/>
  </mergeCells>
  <conditionalFormatting sqref="A5:A7">
    <cfRule type="containsText" dxfId="76" priority="1" operator="containsText" text="ANÁLISE">
      <formula>NOT(ISERROR(SEARCH("ANÁLISE",A5)))</formula>
    </cfRule>
    <cfRule type="containsText" dxfId="75" priority="2" operator="containsText" text="ANÁL">
      <formula>NOT(ISERROR(SEARCH("ANÁL",A5)))</formula>
    </cfRule>
    <cfRule type="containsText" dxfId="74" priority="3" operator="containsText" text="CANC">
      <formula>NOT(ISERROR(SEARCH("CANC",A5)))</formula>
    </cfRule>
    <cfRule type="containsText" dxfId="73" priority="4" operator="containsText" text="APRO">
      <formula>NOT(ISERROR(SEARCH("APRO",A5)))</formula>
    </cfRule>
    <cfRule type="containsText" dxfId="72" priority="5" operator="containsText" text="ANÁL">
      <formula>NOT(ISERROR(SEARCH("ANÁL",A5)))</formula>
    </cfRule>
    <cfRule type="containsText" dxfId="71" priority="6" operator="containsText" text="CANC.">
      <formula>NOT(ISERROR(SEARCH("CANC.",A5)))</formula>
    </cfRule>
    <cfRule type="containsText" dxfId="70" priority="7" operator="containsText" text="APRO.">
      <formula>NOT(ISERROR(SEARCH("APRO.",A5)))</formula>
    </cfRule>
  </conditionalFormatting>
  <conditionalFormatting sqref="L5:L15">
    <cfRule type="expression" dxfId="69" priority="8">
      <formula>(ABS((L5-H5))/H5)&gt;Sinalizador_Porcentagem</formula>
    </cfRule>
  </conditionalFormatting>
  <dataValidations count="15">
    <dataValidation type="list" allowBlank="1" showInputMessage="1" showErrorMessage="1" sqref="A5:A7" xr:uid="{5B5D58AC-5F41-45A0-A676-D7E8E0042AD2}">
      <formula1>"APRO, ANÁL, CANC,"</formula1>
    </dataValidation>
    <dataValidation allowBlank="1" showInputMessage="1" showErrorMessage="1" prompt="Porcentagem acima/abaixo personalizáveis usadas para realçar o trabalho real em horas e dias na tabela de projetos que excedam ou fiquem abaixo deste número" sqref="D2" xr:uid="{CD531679-81A3-4D51-9678-2F0EB1EC31C2}"/>
    <dataValidation type="list" allowBlank="1" showInputMessage="1" showErrorMessage="1" error="Selecione uma categoria na lista ou crie uma nova categoria para exibir nesta lista da planilha Configuração." sqref="D5:D15" xr:uid="{CA6541F7-8256-4C91-BEFB-5D9FA1592FCF}">
      <formula1>Categoria_Lista</formula1>
    </dataValidation>
    <dataValidation type="list" allowBlank="1" showInputMessage="1" showErrorMessage="1" error="Selecione um funcionário na lista ou crie um novo funcionário para exibir nesta lista da planilha Configuração." sqref="E5:E15" xr:uid="{9F6D18AC-B99B-4ABD-94FD-BCA33A40E805}">
      <formula1>Funcionário_Lista</formula1>
    </dataValidation>
    <dataValidation allowBlank="1" showInputMessage="1" showErrorMessage="1" prompt="Insira os nomes de projetos nesta coluna" sqref="A4:C4" xr:uid="{90F67ABB-BD56-4E94-B815-8D0F4712896A}"/>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408C21C3-4A85-4AD4-883D-EF3E8DC2B331}"/>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81087D34-1DC6-400E-9922-30E7050E82F6}"/>
    <dataValidation allowBlank="1" showInputMessage="1" showErrorMessage="1" prompt="Insira a data de início estimada do projeto nesta coluna" sqref="F4" xr:uid="{B71F6A3C-2E09-4580-8FB4-F1B4BDA59146}"/>
    <dataValidation allowBlank="1" showInputMessage="1" showErrorMessage="1" prompt="Insira a data de término estimada do projeto nesta coluna" sqref="G4" xr:uid="{88B83C11-C02D-49BD-952D-2E57D1F815E5}"/>
    <dataValidation allowBlank="1" showInputMessage="1" showErrorMessage="1" prompt="Insira a duração estimada do projeto em dias nesta coluna" sqref="H4" xr:uid="{0A974779-61EA-4329-A391-AAB4FEE0C6D8}"/>
    <dataValidation allowBlank="1" showInputMessage="1" showErrorMessage="1" prompt="Insira a data de início real do projeto nesta coluna" sqref="I4" xr:uid="{FF6C3C7E-3215-4A87-BB2D-D77D471225B3}"/>
    <dataValidation allowBlank="1" showInputMessage="1" showErrorMessage="1" prompt="Insira a data de término real do projeto nesta coluna" sqref="J4" xr:uid="{73AF0E82-98F0-46D0-8521-F7F52B1EBED0}"/>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74B71FF8-ACEF-4DB6-8B79-3299864F5986}"/>
    <dataValidation allowBlank="1" showInputMessage="1" showErrorMessage="1" prompt="Insira a duração real de projeto em dias. Valores que atendem aos critérios Acima/Abaixo são destacados em negrito vermelho e geram um ícone de sinalizador na coluna M à esquerda" sqref="L4" xr:uid="{6ECA76FC-ABA4-4BDE-ACE9-17AE9BBEA24A}"/>
    <dataValidation allowBlank="1" showInputMessage="1" showErrorMessage="1" prompt="Insira anotações para os projetos nesta coluna" sqref="M4:N4" xr:uid="{175FAA3F-E035-4F15-8BF0-D68DB1103096}"/>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E5BB7282-EBBD-45F7-A3E3-4B8E3C1148A8}">
            <x14:iconSet custom="1">
              <x14:cfvo type="percent">
                <xm:f>0</xm:f>
              </x14:cfvo>
              <x14:cfvo type="num">
                <xm:f>0</xm:f>
              </x14:cfvo>
              <x14:cfvo type="num">
                <xm:f>1</xm:f>
              </x14:cfvo>
              <x14:cfIcon iconSet="NoIcons" iconId="0"/>
              <x14:cfIcon iconSet="NoIcons" iconId="0"/>
              <x14:cfIcon iconSet="3Flags" iconId="0"/>
            </x14:iconSet>
          </x14:cfRule>
          <xm:sqref>K5:K15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51E77-F699-42EF-9758-0A88767C7E0A}">
  <sheetPr>
    <tabColor theme="8"/>
    <pageSetUpPr autoPageBreaks="0" fitToPage="1"/>
  </sheetPr>
  <dimension ref="A1:N15"/>
  <sheetViews>
    <sheetView showGridLines="0" zoomScale="110" zoomScaleNormal="110" workbookViewId="0">
      <pane ySplit="4" topLeftCell="A5" activePane="bottomLeft" state="frozen"/>
      <selection pane="bottomLeft" activeCell="B9" sqref="B9"/>
    </sheetView>
  </sheetViews>
  <sheetFormatPr defaultColWidth="9" defaultRowHeight="30" customHeight="1"/>
  <cols>
    <col min="1" max="1" width="23.5" style="31" customWidth="1"/>
    <col min="2" max="2" width="23.75" customWidth="1"/>
    <col min="3" max="3" width="20.625" customWidth="1"/>
    <col min="4" max="4" width="16.625" customWidth="1"/>
    <col min="5" max="5" width="13.75" style="1" customWidth="1"/>
    <col min="6" max="6" width="14.375" style="1" customWidth="1"/>
    <col min="7" max="7" width="16.375" customWidth="1"/>
    <col min="8" max="8" width="23.125" style="34" customWidth="1"/>
    <col min="9" max="9" width="14.875" style="1" customWidth="1"/>
    <col min="10" max="10" width="14.625" style="1" customWidth="1"/>
    <col min="11" max="11" width="13.625" customWidth="1"/>
    <col min="12" max="12" width="28.25" customWidth="1"/>
    <col min="13" max="13" width="24" customWidth="1"/>
    <col min="14" max="14" width="25.625" customWidth="1"/>
    <col min="15" max="15" width="2.625" customWidth="1"/>
  </cols>
  <sheetData>
    <row r="1" spans="1:14" ht="65.099999999999994" customHeight="1">
      <c r="A1" s="131" t="s">
        <v>263</v>
      </c>
      <c r="B1" s="131"/>
      <c r="C1" s="131"/>
      <c r="D1" s="131"/>
      <c r="E1" s="131"/>
      <c r="F1" s="131"/>
      <c r="G1" s="1" t="s">
        <v>219</v>
      </c>
      <c r="H1" s="34" t="s">
        <v>220</v>
      </c>
      <c r="I1" s="130"/>
      <c r="J1" s="130"/>
      <c r="K1" s="130"/>
      <c r="L1" s="130"/>
      <c r="M1" s="130"/>
      <c r="N1" s="130"/>
    </row>
    <row r="2" spans="1:14" ht="20.25" customHeight="1">
      <c r="A2" s="48"/>
      <c r="B2" s="4"/>
      <c r="C2" s="3" t="s">
        <v>26</v>
      </c>
      <c r="D2" s="20"/>
      <c r="H2" s="92"/>
      <c r="I2" s="130"/>
      <c r="J2" s="130"/>
      <c r="K2" s="130"/>
      <c r="L2" s="130"/>
      <c r="M2" s="130"/>
      <c r="N2" s="130"/>
    </row>
    <row r="3" spans="1:14" ht="20.25" customHeight="1">
      <c r="I3" s="130"/>
      <c r="J3" s="130"/>
      <c r="K3" s="130"/>
      <c r="L3" s="130"/>
      <c r="M3" s="130"/>
      <c r="N3" s="130"/>
    </row>
    <row r="4" spans="1:14" ht="54.95" customHeight="1">
      <c r="A4" s="35" t="s">
        <v>126</v>
      </c>
      <c r="B4" s="15" t="s">
        <v>221</v>
      </c>
      <c r="C4" s="15" t="s">
        <v>29</v>
      </c>
      <c r="D4" s="15" t="s">
        <v>1</v>
      </c>
      <c r="E4" s="15" t="s">
        <v>30</v>
      </c>
      <c r="F4" s="16" t="s">
        <v>31</v>
      </c>
      <c r="G4" s="16" t="s">
        <v>32</v>
      </c>
      <c r="H4" s="29" t="s">
        <v>33</v>
      </c>
      <c r="I4" s="18" t="s">
        <v>34</v>
      </c>
      <c r="J4" s="16" t="s">
        <v>35</v>
      </c>
      <c r="K4" s="23" t="s">
        <v>36</v>
      </c>
      <c r="L4" s="19" t="s">
        <v>37</v>
      </c>
      <c r="M4" s="15" t="s">
        <v>38</v>
      </c>
      <c r="N4" s="15" t="s">
        <v>39</v>
      </c>
    </row>
    <row r="5" spans="1:14" ht="33">
      <c r="A5" s="52" t="s">
        <v>88</v>
      </c>
      <c r="B5" s="101" t="s">
        <v>264</v>
      </c>
      <c r="C5" s="6" t="s">
        <v>46</v>
      </c>
      <c r="D5" s="6" t="s">
        <v>4</v>
      </c>
      <c r="E5" s="6" t="s">
        <v>5</v>
      </c>
      <c r="F5" s="7">
        <v>45924</v>
      </c>
      <c r="G5" s="7"/>
      <c r="H5" s="44" t="str">
        <f>IF(COUNTA('Prot. TLD - Reserva do Lago'!$F5,'Prot. TLD - Reserva do Lago'!$G5)&lt;&gt;2,"",DAYS360('Prot. TLD - Reserva do Lago'!$F5,'Prot. TLD - Reserva do Lago'!$G5,FALSE))</f>
        <v/>
      </c>
      <c r="I5" s="8"/>
      <c r="J5" s="7"/>
      <c r="K5" s="14" t="str">
        <f>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f>
        <v/>
      </c>
      <c r="L5" s="9" t="str">
        <f>IF(COUNTA('Prot. TLD - Reserva do Lago'!$I5,'Prot. TLD - Reserva do Lago'!$J5)&lt;&gt;2,"",DAYS360('Prot. TLD - Reserva do Lago'!$I5,'Prot. TLD - Reserva do Lago'!$J5,FALSE))</f>
        <v/>
      </c>
      <c r="M5" s="6"/>
      <c r="N5" s="6"/>
    </row>
    <row r="6" spans="1:14" ht="33">
      <c r="A6" s="52" t="s">
        <v>88</v>
      </c>
      <c r="B6" s="101" t="s">
        <v>265</v>
      </c>
      <c r="C6" s="6" t="s">
        <v>266</v>
      </c>
      <c r="D6" s="6" t="s">
        <v>4</v>
      </c>
      <c r="E6" s="6" t="s">
        <v>5</v>
      </c>
      <c r="F6" s="7">
        <v>46113</v>
      </c>
      <c r="G6" s="7">
        <v>46143</v>
      </c>
      <c r="H6" s="44">
        <f>IF(COUNTA('Prot. TLD - Reserva do Lago'!$F6,'Prot. TLD - Reserva do Lago'!$G6)&lt;&gt;2,"",DAYS360('Prot. TLD - Reserva do Lago'!$F6,'Prot. TLD - Reserva do Lago'!$G6,FALSE))</f>
        <v>30</v>
      </c>
      <c r="I6" s="8"/>
      <c r="J6" s="7"/>
      <c r="K6" s="14" t="str">
        <f>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f>
        <v/>
      </c>
      <c r="L6" s="9" t="str">
        <f>IF(COUNTA('Prot. TLD - Reserva do Lago'!$I6,'Prot. TLD - Reserva do Lago'!$J6)&lt;&gt;2,"",DAYS360('Prot. TLD - Reserva do Lago'!$I6,'Prot. TLD - Reserva do Lago'!$J6,FALSE))</f>
        <v/>
      </c>
      <c r="M6" s="6"/>
      <c r="N6" s="6"/>
    </row>
    <row r="7" spans="1:14" ht="66">
      <c r="A7" s="52" t="s">
        <v>40</v>
      </c>
      <c r="B7" s="125">
        <v>355149</v>
      </c>
      <c r="C7" s="6" t="s">
        <v>267</v>
      </c>
      <c r="D7" s="6" t="s">
        <v>7</v>
      </c>
      <c r="E7" s="6" t="s">
        <v>97</v>
      </c>
      <c r="F7" s="7">
        <v>46113</v>
      </c>
      <c r="G7" s="7">
        <v>46143</v>
      </c>
      <c r="H7" s="44">
        <f>IF(COUNTA('Prot. TLD - Reserva do Lago'!$F7,'Prot. TLD - Reserva do Lago'!$G7)&lt;&gt;2,"",DAYS360('Prot. TLD - Reserva do Lago'!$F7,'Prot. TLD - Reserva do Lago'!$G7,FALSE))</f>
        <v>30</v>
      </c>
      <c r="I7" s="8">
        <v>46112</v>
      </c>
      <c r="J7" s="7">
        <v>46125</v>
      </c>
      <c r="K7" s="14">
        <f>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f>
        <v>1</v>
      </c>
      <c r="L7" s="9">
        <f>IF(COUNTA('Prot. TLD - Reserva do Lago'!$I7,'Prot. TLD - Reserva do Lago'!$J7)&lt;&gt;2,"",DAYS360('Prot. TLD - Reserva do Lago'!$I7,'Prot. TLD - Reserva do Lago'!$J7,FALSE))</f>
        <v>13</v>
      </c>
      <c r="M7" s="6"/>
      <c r="N7" s="6"/>
    </row>
    <row r="8" spans="1:14" ht="16.5">
      <c r="A8" s="52" t="s">
        <v>88</v>
      </c>
      <c r="B8" s="127" t="s">
        <v>268</v>
      </c>
      <c r="C8" s="6"/>
      <c r="D8" s="6" t="s">
        <v>12</v>
      </c>
      <c r="E8" s="6" t="s">
        <v>13</v>
      </c>
      <c r="F8" s="7"/>
      <c r="G8" s="7"/>
      <c r="H8" s="44" t="str">
        <f>IF(COUNTA('Prot. TLD - Reserva do Lago'!$F8,'Prot. TLD - Reserva do Lago'!$G8)&lt;&gt;2,"",DAYS360('Prot. TLD - Reserva do Lago'!$F8,'Prot. TLD - Reserva do Lago'!$G8,FALSE))</f>
        <v/>
      </c>
      <c r="I8" s="8"/>
      <c r="J8" s="7"/>
      <c r="K8" s="14" t="str">
        <f>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f>
        <v/>
      </c>
      <c r="L8" s="9" t="str">
        <f>IF(COUNTA('Prot. TLD - Reserva do Lago'!$I8,'Prot. TLD - Reserva do Lago'!$J8)&lt;&gt;2,"",DAYS360('Prot. TLD - Reserva do Lago'!$I8,'Prot. TLD - Reserva do Lago'!$J8,FALSE))</f>
        <v/>
      </c>
      <c r="M8" s="6"/>
      <c r="N8" s="6"/>
    </row>
    <row r="9" spans="1:14" ht="33">
      <c r="A9" s="52" t="s">
        <v>88</v>
      </c>
      <c r="B9" s="126" t="s">
        <v>269</v>
      </c>
      <c r="C9" s="6" t="s">
        <v>214</v>
      </c>
      <c r="D9" s="6" t="s">
        <v>4</v>
      </c>
      <c r="E9" s="6" t="s">
        <v>5</v>
      </c>
      <c r="F9" s="7">
        <v>46141</v>
      </c>
      <c r="G9" s="7">
        <v>46171</v>
      </c>
      <c r="H9" s="44">
        <f>IF(COUNTA('Prot. TLD - Reserva do Lago'!$F9,'Prot. TLD - Reserva do Lago'!$G9)&lt;&gt;2,"",DAYS360('Prot. TLD - Reserva do Lago'!$F9,'Prot. TLD - Reserva do Lago'!$G9,FALSE))</f>
        <v>30</v>
      </c>
      <c r="I9" s="8"/>
      <c r="J9" s="7"/>
      <c r="K9" s="14" t="str">
        <f>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f>
        <v/>
      </c>
      <c r="L9" s="9" t="str">
        <f>IF(COUNTA('Prot. TLD - Reserva do Lago'!$I9,'Prot. TLD - Reserva do Lago'!$J9)&lt;&gt;2,"",DAYS360('Prot. TLD - Reserva do Lago'!$I9,'Prot. TLD - Reserva do Lago'!$J9,FALSE))</f>
        <v/>
      </c>
      <c r="M9" s="6"/>
      <c r="N9" s="6"/>
    </row>
    <row r="10" spans="1:14" ht="16.5">
      <c r="A10" s="52" t="s">
        <v>40</v>
      </c>
      <c r="B10" s="126" t="s">
        <v>270</v>
      </c>
      <c r="C10" t="s">
        <v>271</v>
      </c>
      <c r="D10" s="6" t="s">
        <v>18</v>
      </c>
      <c r="E10" s="67" t="s">
        <v>97</v>
      </c>
      <c r="F10" s="7"/>
      <c r="G10" s="7"/>
      <c r="H10" s="44" t="str">
        <f>IF(COUNTA('Prot. TLD - Reserva do Lago'!$F10,'Prot. TLD - Reserva do Lago'!$G10)&lt;&gt;2,"",DAYS360('Prot. TLD - Reserva do Lago'!$F10,'Prot. TLD - Reserva do Lago'!$G10,FALSE))</f>
        <v/>
      </c>
      <c r="I10" s="8"/>
      <c r="J10" s="7"/>
      <c r="K10" s="14" t="str">
        <f>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f>
        <v/>
      </c>
      <c r="L10" s="9" t="str">
        <f>IF(COUNTA('Prot. TLD - Reserva do Lago'!$I10,'Prot. TLD - Reserva do Lago'!$J10)&lt;&gt;2,"",DAYS360('Prot. TLD - Reserva do Lago'!$I10,'Prot. TLD - Reserva do Lago'!$J10,FALSE))</f>
        <v/>
      </c>
      <c r="M10" s="6"/>
      <c r="N10" s="6"/>
    </row>
    <row r="11" spans="1:14" ht="16.5">
      <c r="A11" s="39"/>
      <c r="B11" s="6"/>
      <c r="C11" s="6"/>
      <c r="D11" s="6"/>
      <c r="E11" s="68"/>
      <c r="F11" s="7"/>
      <c r="G11" s="7"/>
      <c r="H11" s="44" t="str">
        <f>IF(COUNTA('Prot. TLD - Reserva do Lago'!$F11,'Prot. TLD - Reserva do Lago'!$G11)&lt;&gt;2,"",DAYS360('Prot. TLD - Reserva do Lago'!$F11,'Prot. TLD - Reserva do Lago'!$G11,FALSE))</f>
        <v/>
      </c>
      <c r="I11" s="8"/>
      <c r="J11" s="7"/>
      <c r="K11" s="14" t="str">
        <f>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f>
        <v/>
      </c>
      <c r="L11" s="9" t="str">
        <f>IF(COUNTA('Prot. TLD - Reserva do Lago'!$I11,'Prot. TLD - Reserva do Lago'!$J11)&lt;&gt;2,"",DAYS360('Prot. TLD - Reserva do Lago'!$I11,'Prot. TLD - Reserva do Lago'!$J11,FALSE))</f>
        <v/>
      </c>
      <c r="M11" s="26"/>
      <c r="N11" s="6"/>
    </row>
    <row r="12" spans="1:14" ht="16.5">
      <c r="A12" s="39"/>
      <c r="B12" s="6"/>
      <c r="C12" s="6"/>
      <c r="D12" s="6"/>
      <c r="E12" s="6"/>
      <c r="F12" s="7"/>
      <c r="G12" s="7"/>
      <c r="H12" s="44" t="str">
        <f>IF(COUNTA('Prot. TLD - Reserva do Lago'!$F12,'Prot. TLD - Reserva do Lago'!$G12)&lt;&gt;2,"",DAYS360('Prot. TLD - Reserva do Lago'!$F12,'Prot. TLD - Reserva do Lago'!$G12,FALSE))</f>
        <v/>
      </c>
      <c r="I12" s="8"/>
      <c r="J12" s="7"/>
      <c r="K12" s="14" t="str">
        <f>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f>
        <v/>
      </c>
      <c r="L12" s="9" t="str">
        <f>IF(COUNTA('Prot. TLD - Reserva do Lago'!$I12,'Prot. TLD - Reserva do Lago'!$J12)&lt;&gt;2,"",DAYS360('Prot. TLD - Reserva do Lago'!$I12,'Prot. TLD - Reserva do Lago'!$J12,FALSE))</f>
        <v/>
      </c>
      <c r="M12" s="6"/>
      <c r="N12" s="6"/>
    </row>
    <row r="13" spans="1:14" ht="16.5">
      <c r="A13" s="40"/>
      <c r="B13" s="10"/>
      <c r="C13" s="10"/>
      <c r="D13" s="10"/>
      <c r="E13" s="6"/>
      <c r="F13" s="11"/>
      <c r="G13" s="11"/>
      <c r="H13" s="44" t="str">
        <f>IF(COUNTA('Prot. TLD - Reserva do Lago'!$F13,'Prot. TLD - Reserva do Lago'!$G13)&lt;&gt;2,"",DAYS360('Prot. TLD - Reserva do Lago'!$F13,'Prot. TLD - Reserva do Lago'!$G13,FALSE))</f>
        <v/>
      </c>
      <c r="I13" s="8"/>
      <c r="J13" s="11"/>
      <c r="K13" s="14" t="str">
        <f>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f>
        <v/>
      </c>
      <c r="L13" s="12" t="str">
        <f>IF(COUNTA('Prot. TLD - Reserva do Lago'!$I13,'Prot. TLD - Reserva do Lago'!$J13)&lt;&gt;2,"",DAYS360('Prot. TLD - Reserva do Lago'!$I13,'Prot. TLD - Reserva do Lago'!$J13,FALSE))</f>
        <v/>
      </c>
      <c r="M13" s="10"/>
      <c r="N13" s="10"/>
    </row>
    <row r="14" spans="1:14" ht="16.5">
      <c r="A14" s="40"/>
      <c r="B14" s="10"/>
      <c r="C14" s="10"/>
      <c r="D14" s="10"/>
      <c r="E14" s="6"/>
      <c r="F14" s="11"/>
      <c r="G14" s="11"/>
      <c r="H14" s="44" t="str">
        <f>IF(COUNTA('Prot. TLD - Reserva do Lago'!$F14,'Prot. TLD - Reserva do Lago'!$G14)&lt;&gt;2,"",DAYS360('Prot. TLD - Reserva do Lago'!$F14,'Prot. TLD - Reserva do Lago'!$G14,FALSE))</f>
        <v/>
      </c>
      <c r="I14" s="8"/>
      <c r="J14" s="11"/>
      <c r="K14" s="14" t="str">
        <f>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f>
        <v/>
      </c>
      <c r="L14" s="12" t="str">
        <f>IF(COUNTA('Prot. TLD - Reserva do Lago'!$I14,'Prot. TLD - Reserva do Lago'!$J14)&lt;&gt;2,"",DAYS360('Prot. TLD - Reserva do Lago'!$I14,'Prot. TLD - Reserva do Lago'!$J14,FALSE))</f>
        <v/>
      </c>
      <c r="M14" s="10"/>
      <c r="N14" s="10"/>
    </row>
    <row r="15" spans="1:14" ht="16.5">
      <c r="A15" s="41"/>
      <c r="B15" s="5"/>
      <c r="C15" s="5"/>
      <c r="D15" s="5"/>
      <c r="E15" s="5"/>
      <c r="F15" s="11"/>
      <c r="G15" s="11"/>
      <c r="H15" s="44" t="str">
        <f>IF(COUNTA('Prot. TLD - Reserva do Lago'!$F15,'Prot. TLD - Reserva do Lago'!$G15)&lt;&gt;2,"",DAYS360('Prot. TLD - Reserva do Lago'!$F15,'Prot. TLD - Reserva do Lago'!$G15,FALSE))</f>
        <v/>
      </c>
      <c r="I15" s="8"/>
      <c r="J15" s="11"/>
      <c r="K15" s="14" t="str">
        <f>IFERROR(IF(ControladorDeProjetos3673111213[[#This Row],[Duração Real (em dias)]]=0,"",IF(ABS((ControladorDeProjetos3673111213[[#This Row],[Duração Real (em dias)]]-ControladorDeProjetos3673111213[[#This Row],[Duração Estimada (em dias)]])/ControladorDeProjetos3673111213[[#This Row],[Duração Estimada (em dias)]])&gt;Sinalizador_Porcentagem,1,0)),"")</f>
        <v/>
      </c>
      <c r="L15" s="12" t="str">
        <f>IF(COUNTA('Prot. TLD - Reserva do Lago'!$I15,'Prot. TLD - Reserva do Lago'!$J15)&lt;&gt;2,"",DAYS360('Prot. TLD - Reserva do Lago'!$I15,'Prot. TLD - Reserva do Lago'!$J15,FALSE))</f>
        <v/>
      </c>
      <c r="M15" s="5"/>
      <c r="N15" s="5"/>
    </row>
  </sheetData>
  <mergeCells count="2">
    <mergeCell ref="A1:F1"/>
    <mergeCell ref="I1:N3"/>
  </mergeCells>
  <conditionalFormatting sqref="A5:A10">
    <cfRule type="containsText" dxfId="62" priority="1" operator="containsText" text="ANÁLISE">
      <formula>NOT(ISERROR(SEARCH("ANÁLISE",A5)))</formula>
    </cfRule>
    <cfRule type="containsText" dxfId="61" priority="2" operator="containsText" text="ANÁL">
      <formula>NOT(ISERROR(SEARCH("ANÁL",A5)))</formula>
    </cfRule>
    <cfRule type="containsText" dxfId="60" priority="3" operator="containsText" text="CANC">
      <formula>NOT(ISERROR(SEARCH("CANC",A5)))</formula>
    </cfRule>
    <cfRule type="containsText" dxfId="59" priority="4" operator="containsText" text="APRO">
      <formula>NOT(ISERROR(SEARCH("APRO",A5)))</formula>
    </cfRule>
    <cfRule type="containsText" dxfId="58" priority="5" operator="containsText" text="ANÁL">
      <formula>NOT(ISERROR(SEARCH("ANÁL",A5)))</formula>
    </cfRule>
    <cfRule type="containsText" dxfId="57" priority="6" operator="containsText" text="CANC.">
      <formula>NOT(ISERROR(SEARCH("CANC.",A5)))</formula>
    </cfRule>
    <cfRule type="containsText" dxfId="56" priority="7" operator="containsText" text="APRO.">
      <formula>NOT(ISERROR(SEARCH("APRO.",A5)))</formula>
    </cfRule>
  </conditionalFormatting>
  <conditionalFormatting sqref="L5:L15">
    <cfRule type="expression" dxfId="55" priority="8">
      <formula>(ABS((L5-H5))/H5)&gt;Sinalizador_Porcentagem</formula>
    </cfRule>
  </conditionalFormatting>
  <dataValidations count="15">
    <dataValidation allowBlank="1" showInputMessage="1" showErrorMessage="1" prompt="Insira anotações para os projetos nesta coluna" sqref="M4:N4" xr:uid="{4968254F-C8DB-4F72-B8FB-9CD9F4B14E5C}"/>
    <dataValidation allowBlank="1" showInputMessage="1" showErrorMessage="1" prompt="Insira a duração real de projeto em dias. Valores que atendem aos critérios Acima/Abaixo são destacados em negrito vermelho e geram um ícone de sinalizador na coluna M à esquerda" sqref="L4" xr:uid="{9AF0E41A-095E-4681-8232-1222B4FC13F1}"/>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EF8435A2-1F31-4A14-BCEC-D7A41C8428D0}"/>
    <dataValidation allowBlank="1" showInputMessage="1" showErrorMessage="1" prompt="Insira a data de término real do projeto nesta coluna" sqref="J4" xr:uid="{8463BB58-2F19-4C95-A458-F1FC5E436E01}"/>
    <dataValidation allowBlank="1" showInputMessage="1" showErrorMessage="1" prompt="Insira a data de início real do projeto nesta coluna" sqref="I4" xr:uid="{16B92C0D-D39B-4431-82DB-86D14924A231}"/>
    <dataValidation allowBlank="1" showInputMessage="1" showErrorMessage="1" prompt="Insira a duração estimada do projeto em dias nesta coluna" sqref="H4" xr:uid="{DDA86D48-19CB-4174-8097-462C552C4901}"/>
    <dataValidation allowBlank="1" showInputMessage="1" showErrorMessage="1" prompt="Insira a data de término estimada do projeto nesta coluna" sqref="G4" xr:uid="{EBA07CD4-A41D-41B5-9CEA-A70CFB5CE4CD}"/>
    <dataValidation allowBlank="1" showInputMessage="1" showErrorMessage="1" prompt="Insira a data de início estimada do projeto nesta coluna" sqref="F4" xr:uid="{9843C095-6EAE-4F7D-B2B1-A4C564E8209E}"/>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7C908CC8-DB12-436F-8CA3-48BA71C53A5F}"/>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86B2A885-4F37-4124-8F5F-36ACA5D17F24}"/>
    <dataValidation allowBlank="1" showInputMessage="1" showErrorMessage="1" prompt="Insira os nomes de projetos nesta coluna" sqref="A4:C4" xr:uid="{CF939E64-BA9A-4F3B-A0F5-813173C0AFE4}"/>
    <dataValidation type="list" allowBlank="1" showInputMessage="1" showErrorMessage="1" error="Selecione um funcionário na lista ou crie um novo funcionário para exibir nesta lista da planilha Configuração." sqref="E5:E15" xr:uid="{546ACA56-9508-4B1F-9CDE-D133C008D50A}">
      <formula1>Funcionário_Lista</formula1>
    </dataValidation>
    <dataValidation type="list" allowBlank="1" showInputMessage="1" showErrorMessage="1" error="Selecione uma categoria na lista ou crie uma nova categoria para exibir nesta lista da planilha Configuração." sqref="D5:D15" xr:uid="{EAE1247F-AE9D-44E6-9FA6-97720C6EF6A2}">
      <formula1>Categoria_Lista</formula1>
    </dataValidation>
    <dataValidation allowBlank="1" showInputMessage="1" showErrorMessage="1" prompt="Porcentagem acima/abaixo personalizáveis usadas para realçar o trabalho real em horas e dias na tabela de projetos que excedam ou fiquem abaixo deste número" sqref="D2" xr:uid="{AEC86876-1DE8-40DF-9AA4-8BBA01DE0E42}"/>
    <dataValidation type="list" allowBlank="1" showInputMessage="1" showErrorMessage="1" sqref="A5:A10" xr:uid="{B016728D-E733-4312-AED4-185D6E54F5B5}">
      <formula1>"APRO, ANÁL, CANC,"</formula1>
    </dataValidation>
  </dataValidations>
  <hyperlinks>
    <hyperlink ref="B8" r:id="rId1" tooltip="https://sysaga.decea.mil.br/gerenciarpreanalise/443664?visualizar=10" display="https://sysaga.decea.mil.br/gerenciarPreanalise/443664?visualizar=10" xr:uid="{62D21E2B-C7AD-451D-8CAF-7A9EB857E5CA}"/>
  </hyperlinks>
  <printOptions horizontalCentered="1"/>
  <pageMargins left="0.25" right="0.25" top="0.5" bottom="0.5" header="0.3" footer="0.3"/>
  <pageSetup paperSize="9" fitToHeight="0" orientation="landscape" r:id="rId2"/>
  <headerFooter differentFirst="1">
    <oddFooter>&amp;CPage &amp;P of &amp;N</oddFooter>
  </headerFooter>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iconSet" priority="9" id="{3C50897E-6168-47EE-8E34-121EE33020DC}">
            <x14:iconSet custom="1">
              <x14:cfvo type="percent">
                <xm:f>0</xm:f>
              </x14:cfvo>
              <x14:cfvo type="num">
                <xm:f>0</xm:f>
              </x14:cfvo>
              <x14:cfvo type="num">
                <xm:f>1</xm:f>
              </x14:cfvo>
              <x14:cfIcon iconSet="NoIcons" iconId="0"/>
              <x14:cfIcon iconSet="NoIcons" iconId="0"/>
              <x14:cfIcon iconSet="3Flags" iconId="0"/>
            </x14:iconSet>
          </x14:cfRule>
          <xm:sqref>K5:K15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pageSetUpPr autoPageBreaks="0" fitToPage="1"/>
  </sheetPr>
  <dimension ref="A1:N15"/>
  <sheetViews>
    <sheetView showGridLines="0" zoomScale="90" zoomScaleNormal="90" workbookViewId="0">
      <pane ySplit="4" topLeftCell="A5" activePane="bottomLeft" state="frozen"/>
      <selection pane="bottomLeft" sqref="A1:E1"/>
    </sheetView>
  </sheetViews>
  <sheetFormatPr defaultColWidth="9" defaultRowHeight="30" customHeight="1"/>
  <cols>
    <col min="1" max="1" width="7" style="31" customWidth="1"/>
    <col min="2" max="2" width="27.875" customWidth="1"/>
    <col min="3" max="3" width="33.75" customWidth="1"/>
    <col min="4" max="4" width="18.25" customWidth="1"/>
    <col min="5" max="5" width="13.25" style="1" customWidth="1"/>
    <col min="6" max="6" width="13.75" style="1" customWidth="1"/>
    <col min="7" max="7" width="13.75" customWidth="1"/>
    <col min="8" max="8" width="12.625" style="1" customWidth="1"/>
    <col min="9" max="10" width="13.75" style="1" customWidth="1"/>
    <col min="11" max="11" width="26.25" customWidth="1"/>
    <col min="12" max="12" width="14.75" customWidth="1"/>
    <col min="13" max="13" width="45.5" customWidth="1"/>
    <col min="14" max="14" width="35.5" customWidth="1"/>
    <col min="15" max="15" width="2.625" customWidth="1"/>
  </cols>
  <sheetData>
    <row r="1" spans="1:14" ht="65.099999999999994" customHeight="1">
      <c r="A1" s="132" t="s">
        <v>272</v>
      </c>
      <c r="B1" s="132"/>
      <c r="C1" s="132"/>
      <c r="D1" s="132"/>
      <c r="E1" s="132"/>
      <c r="G1" s="1" t="s">
        <v>219</v>
      </c>
      <c r="H1" s="1" t="s">
        <v>220</v>
      </c>
      <c r="I1" s="130"/>
      <c r="J1" s="130"/>
      <c r="K1" s="130"/>
      <c r="L1" s="130"/>
      <c r="M1" s="130"/>
      <c r="N1" s="130"/>
    </row>
    <row r="2" spans="1:14" ht="20.25" hidden="1" customHeight="1">
      <c r="A2" s="48"/>
      <c r="B2" s="4"/>
      <c r="C2" s="3" t="s">
        <v>26</v>
      </c>
      <c r="D2" s="20"/>
      <c r="I2" s="130"/>
      <c r="J2" s="130"/>
      <c r="K2" s="130"/>
      <c r="L2" s="130"/>
      <c r="M2" s="130"/>
      <c r="N2" s="130"/>
    </row>
    <row r="3" spans="1:14" ht="20.25" customHeight="1">
      <c r="I3" s="130"/>
      <c r="J3" s="130"/>
      <c r="K3" s="130"/>
      <c r="L3" s="130"/>
      <c r="M3" s="130"/>
      <c r="N3" s="130"/>
    </row>
    <row r="4" spans="1:14" ht="54.95" customHeight="1">
      <c r="A4" s="35" t="s">
        <v>126</v>
      </c>
      <c r="B4" s="15" t="s">
        <v>28</v>
      </c>
      <c r="C4" s="15" t="s">
        <v>29</v>
      </c>
      <c r="D4" s="15" t="s">
        <v>1</v>
      </c>
      <c r="E4" s="15" t="s">
        <v>30</v>
      </c>
      <c r="F4" s="16" t="s">
        <v>31</v>
      </c>
      <c r="G4" s="16" t="s">
        <v>32</v>
      </c>
      <c r="H4" s="17" t="s">
        <v>33</v>
      </c>
      <c r="I4" s="18" t="s">
        <v>34</v>
      </c>
      <c r="J4" s="16" t="s">
        <v>35</v>
      </c>
      <c r="K4" s="23" t="s">
        <v>36</v>
      </c>
      <c r="L4" s="19" t="s">
        <v>37</v>
      </c>
      <c r="M4" s="15" t="s">
        <v>38</v>
      </c>
      <c r="N4" s="15" t="s">
        <v>39</v>
      </c>
    </row>
    <row r="5" spans="1:14" ht="49.5">
      <c r="A5" s="52" t="s">
        <v>63</v>
      </c>
      <c r="B5" s="6" t="s">
        <v>273</v>
      </c>
      <c r="C5" s="6" t="s">
        <v>274</v>
      </c>
      <c r="D5" s="6" t="s">
        <v>18</v>
      </c>
      <c r="E5" s="6" t="s">
        <v>275</v>
      </c>
      <c r="F5" s="7">
        <v>45322</v>
      </c>
      <c r="G5" s="7">
        <v>45352</v>
      </c>
      <c r="H5" s="13">
        <f>ControladorDeProjetos36[[#This Row],[Estimado 
Término]]-ControladorDeProjetos36[[#This Row],[Estimado
Início]]</f>
        <v>30</v>
      </c>
      <c r="I5" s="8">
        <v>45322</v>
      </c>
      <c r="J5" s="7">
        <v>45338</v>
      </c>
      <c r="K5" s="14">
        <f>IFERROR(IF(ControladorDeProjetos36[[#This Row],[Duração Real (em dias)]]=0,"",IF(ABS((ControladorDeProjetos36[[#This Row],[Duração Real (em dias)]]-ControladorDeProjetos36[[#This Row],[Duração Estimada (em dias)]])/ControladorDeProjetos36[[#This Row],[Duração Estimada (em dias)]])&gt;Sinalizador_Porcentagem,1,0)),"")</f>
        <v>1</v>
      </c>
      <c r="L5" s="9">
        <f>IF(COUNTA('Prot. TLD - Lot. Vera Cruz'!$I5,'Prot. TLD - Lot. Vera Cruz'!$J5)&lt;&gt;2,"",DAYS360('Prot. TLD - Lot. Vera Cruz'!$I5,'Prot. TLD - Lot. Vera Cruz'!$J5,FALSE))</f>
        <v>16</v>
      </c>
      <c r="M5" s="6" t="s">
        <v>276</v>
      </c>
      <c r="N5" s="6" t="s">
        <v>277</v>
      </c>
    </row>
    <row r="6" spans="1:14" ht="16.5">
      <c r="A6" s="52" t="s">
        <v>63</v>
      </c>
      <c r="B6" s="6" t="s">
        <v>278</v>
      </c>
      <c r="C6" s="6" t="s">
        <v>274</v>
      </c>
      <c r="D6" s="6" t="s">
        <v>18</v>
      </c>
      <c r="E6" s="6" t="s">
        <v>275</v>
      </c>
      <c r="F6" s="7">
        <v>45349</v>
      </c>
      <c r="G6" s="7">
        <v>45378</v>
      </c>
      <c r="H6" s="13">
        <f>ControladorDeProjetos36[[#This Row],[Estimado 
Término]]-ControladorDeProjetos36[[#This Row],[Estimado
Início]]</f>
        <v>29</v>
      </c>
      <c r="I6" s="8">
        <v>45349</v>
      </c>
      <c r="J6" s="7"/>
      <c r="K6" s="14" t="str">
        <f>IFERROR(IF(ControladorDeProjetos36[[#This Row],[Duração Real (em dias)]]=0,"",IF(ABS((ControladorDeProjetos36[[#This Row],[Duração Real (em dias)]]-ControladorDeProjetos36[[#This Row],[Duração Estimada (em dias)]])/ControladorDeProjetos36[[#This Row],[Duração Estimada (em dias)]])&gt;Sinalizador_Porcentagem,1,0)),"")</f>
        <v/>
      </c>
      <c r="L6" s="9" t="str">
        <f>IF(COUNTA('Prot. TLD - Lot. Vera Cruz'!$I6,'Prot. TLD - Lot. Vera Cruz'!$J6)&lt;&gt;2,"",DAYS360('Prot. TLD - Lot. Vera Cruz'!$I6,'Prot. TLD - Lot. Vera Cruz'!$J6,FALSE))</f>
        <v/>
      </c>
      <c r="M6" s="6" t="s">
        <v>276</v>
      </c>
      <c r="N6" s="6"/>
    </row>
    <row r="7" spans="1:14" ht="33">
      <c r="A7" s="52" t="s">
        <v>63</v>
      </c>
      <c r="B7" s="6" t="s">
        <v>279</v>
      </c>
      <c r="C7" s="6" t="s">
        <v>280</v>
      </c>
      <c r="D7" s="6" t="s">
        <v>4</v>
      </c>
      <c r="E7" s="6" t="s">
        <v>275</v>
      </c>
      <c r="F7" s="7">
        <v>45057</v>
      </c>
      <c r="G7" s="7">
        <v>45423</v>
      </c>
      <c r="H7" s="13">
        <f>ControladorDeProjetos36[[#This Row],[Estimado 
Término]]-ControladorDeProjetos36[[#This Row],[Estimado
Início]]</f>
        <v>366</v>
      </c>
      <c r="I7" s="8">
        <v>45057</v>
      </c>
      <c r="J7" s="7"/>
      <c r="K7" s="14" t="str">
        <f>IFERROR(IF(ControladorDeProjetos36[[#This Row],[Duração Real (em dias)]]=0,"",IF(ABS((ControladorDeProjetos36[[#This Row],[Duração Real (em dias)]]-ControladorDeProjetos36[[#This Row],[Duração Estimada (em dias)]])/ControladorDeProjetos36[[#This Row],[Duração Estimada (em dias)]])&gt;Sinalizador_Porcentagem,1,0)),"")</f>
        <v/>
      </c>
      <c r="L7" s="9" t="str">
        <f>IF(COUNTA('Prot. TLD - Lot. Vera Cruz'!$I7,'Prot. TLD - Lot. Vera Cruz'!$J7)&lt;&gt;2,"",DAYS360('Prot. TLD - Lot. Vera Cruz'!$I7,'Prot. TLD - Lot. Vera Cruz'!$J7,FALSE))</f>
        <v/>
      </c>
      <c r="M7" s="6" t="s">
        <v>281</v>
      </c>
      <c r="N7" s="6" t="s">
        <v>282</v>
      </c>
    </row>
    <row r="8" spans="1:14" ht="49.5">
      <c r="A8" s="52" t="s">
        <v>40</v>
      </c>
      <c r="B8" s="6" t="s">
        <v>283</v>
      </c>
      <c r="C8" s="6" t="s">
        <v>284</v>
      </c>
      <c r="D8" s="6" t="s">
        <v>9</v>
      </c>
      <c r="E8" s="6" t="s">
        <v>275</v>
      </c>
      <c r="F8" s="7">
        <v>45322</v>
      </c>
      <c r="G8" s="7">
        <f>ControladorDeProjetos36[[#This Row],[Estimado
Início]]+30</f>
        <v>45352</v>
      </c>
      <c r="H8" s="13">
        <f>ControladorDeProjetos36[[#This Row],[Estimado 
Término]]-ControladorDeProjetos36[[#This Row],[Estimado
Início]]</f>
        <v>30</v>
      </c>
      <c r="I8" s="8">
        <v>45322</v>
      </c>
      <c r="J8" s="7"/>
      <c r="K8" s="14" t="str">
        <f>IFERROR(IF(ControladorDeProjetos36[[#This Row],[Duração Real (em dias)]]=0,"",IF(ABS((ControladorDeProjetos36[[#This Row],[Duração Real (em dias)]]-ControladorDeProjetos36[[#This Row],[Duração Estimada (em dias)]])/ControladorDeProjetos36[[#This Row],[Duração Estimada (em dias)]])&gt;Sinalizador_Porcentagem,1,0)),"")</f>
        <v/>
      </c>
      <c r="L8" s="9" t="str">
        <f>IF(COUNTA('Prot. TLD - Lot. Vera Cruz'!$I8,'Prot. TLD - Lot. Vera Cruz'!$J8)&lt;&gt;2,"",DAYS360('Prot. TLD - Lot. Vera Cruz'!$I8,'Prot. TLD - Lot. Vera Cruz'!$J8,FALSE))</f>
        <v/>
      </c>
      <c r="M8" s="6" t="s">
        <v>285</v>
      </c>
      <c r="N8" s="6" t="s">
        <v>286</v>
      </c>
    </row>
    <row r="9" spans="1:14" ht="33">
      <c r="A9" s="52" t="s">
        <v>40</v>
      </c>
      <c r="B9" s="33" t="s">
        <v>287</v>
      </c>
      <c r="C9" s="6" t="s">
        <v>288</v>
      </c>
      <c r="D9" s="6" t="s">
        <v>4</v>
      </c>
      <c r="E9" s="6" t="s">
        <v>275</v>
      </c>
      <c r="F9" s="7">
        <v>45532</v>
      </c>
      <c r="G9" s="7">
        <v>45563</v>
      </c>
      <c r="H9" s="13">
        <f>ControladorDeProjetos36[[#This Row],[Estimado 
Término]]-ControladorDeProjetos36[[#This Row],[Estimado
Início]]</f>
        <v>31</v>
      </c>
      <c r="I9" s="8">
        <v>45532</v>
      </c>
      <c r="J9" s="7">
        <v>45589</v>
      </c>
      <c r="K9" s="14">
        <f>IFERROR(IF(ControladorDeProjetos36[[#This Row],[Duração Real (em dias)]]=0,"",IF(ABS((ControladorDeProjetos36[[#This Row],[Duração Real (em dias)]]-ControladorDeProjetos36[[#This Row],[Duração Estimada (em dias)]])/ControladorDeProjetos36[[#This Row],[Duração Estimada (em dias)]])&gt;Sinalizador_Porcentagem,1,0)),"")</f>
        <v>1</v>
      </c>
      <c r="L9" s="9">
        <f>IF(COUNTA('Prot. TLD - Lot. Vera Cruz'!$I9,'Prot. TLD - Lot. Vera Cruz'!$J9)&lt;&gt;2,"",DAYS360('Prot. TLD - Lot. Vera Cruz'!$I9,'Prot. TLD - Lot. Vera Cruz'!$J9,FALSE))</f>
        <v>56</v>
      </c>
      <c r="M9" s="6"/>
      <c r="N9" s="6" t="s">
        <v>289</v>
      </c>
    </row>
    <row r="10" spans="1:14" ht="16.5">
      <c r="A10" s="39"/>
      <c r="B10" s="6"/>
      <c r="C10" s="6"/>
      <c r="D10" s="6"/>
      <c r="E10" s="6"/>
      <c r="F10" s="7"/>
      <c r="G10" s="7"/>
      <c r="H10" s="13"/>
      <c r="I10" s="8"/>
      <c r="J10" s="7"/>
      <c r="K10" s="14" t="str">
        <f>IFERROR(IF(ControladorDeProjetos36[[#This Row],[Duração Real (em dias)]]=0,"",IF(ABS((ControladorDeProjetos36[[#This Row],[Duração Real (em dias)]]-ControladorDeProjetos36[[#This Row],[Duração Estimada (em dias)]])/ControladorDeProjetos36[[#This Row],[Duração Estimada (em dias)]])&gt;Sinalizador_Porcentagem,1,0)),"")</f>
        <v/>
      </c>
      <c r="L10" s="9" t="str">
        <f>IF(COUNTA('Prot. TLD - Lot. Vera Cruz'!$I10,'Prot. TLD - Lot. Vera Cruz'!$J10)&lt;&gt;2,"",DAYS360('Prot. TLD - Lot. Vera Cruz'!$I10,'Prot. TLD - Lot. Vera Cruz'!$J10,FALSE))</f>
        <v/>
      </c>
      <c r="M10" s="6"/>
      <c r="N10" s="6"/>
    </row>
    <row r="11" spans="1:14" ht="16.5">
      <c r="A11" s="39"/>
      <c r="B11" s="6"/>
      <c r="C11" s="6"/>
      <c r="D11" s="6"/>
      <c r="E11" s="6"/>
      <c r="F11" s="7"/>
      <c r="G11" s="7"/>
      <c r="H11" s="13"/>
      <c r="I11" s="8"/>
      <c r="J11" s="7"/>
      <c r="K11" s="14" t="str">
        <f>IFERROR(IF(ControladorDeProjetos36[[#This Row],[Duração Real (em dias)]]=0,"",IF(ABS((ControladorDeProjetos36[[#This Row],[Duração Real (em dias)]]-ControladorDeProjetos36[[#This Row],[Duração Estimada (em dias)]])/ControladorDeProjetos36[[#This Row],[Duração Estimada (em dias)]])&gt;Sinalizador_Porcentagem,1,0)),"")</f>
        <v/>
      </c>
      <c r="L11" s="9" t="str">
        <f>IF(COUNTA('Prot. TLD - Lot. Vera Cruz'!$I11,'Prot. TLD - Lot. Vera Cruz'!$J11)&lt;&gt;2,"",DAYS360('Prot. TLD - Lot. Vera Cruz'!$I11,'Prot. TLD - Lot. Vera Cruz'!$J11,FALSE))</f>
        <v/>
      </c>
      <c r="M11" s="26"/>
      <c r="N11" s="6"/>
    </row>
    <row r="12" spans="1:14" ht="16.5">
      <c r="A12" s="39"/>
      <c r="B12" s="6"/>
      <c r="C12" s="6"/>
      <c r="D12" s="6"/>
      <c r="E12" s="6"/>
      <c r="F12" s="7"/>
      <c r="G12" s="7"/>
      <c r="H12" s="13"/>
      <c r="I12" s="8"/>
      <c r="J12" s="7"/>
      <c r="K12" s="14" t="str">
        <f>IFERROR(IF(ControladorDeProjetos36[[#This Row],[Duração Real (em dias)]]=0,"",IF(ABS((ControladorDeProjetos36[[#This Row],[Duração Real (em dias)]]-ControladorDeProjetos36[[#This Row],[Duração Estimada (em dias)]])/ControladorDeProjetos36[[#This Row],[Duração Estimada (em dias)]])&gt;Sinalizador_Porcentagem,1,0)),"")</f>
        <v/>
      </c>
      <c r="L12" s="9" t="str">
        <f>IF(COUNTA('Prot. TLD - Lot. Vera Cruz'!$I12,'Prot. TLD - Lot. Vera Cruz'!$J12)&lt;&gt;2,"",DAYS360('Prot. TLD - Lot. Vera Cruz'!$I12,'Prot. TLD - Lot. Vera Cruz'!$J12,FALSE))</f>
        <v/>
      </c>
      <c r="M12" s="6"/>
      <c r="N12" s="6"/>
    </row>
    <row r="13" spans="1:14" ht="16.5">
      <c r="A13" s="40"/>
      <c r="B13" s="10"/>
      <c r="C13" s="10"/>
      <c r="D13" s="10"/>
      <c r="E13" s="6"/>
      <c r="F13" s="11"/>
      <c r="G13" s="11"/>
      <c r="H13" s="13"/>
      <c r="I13" s="8"/>
      <c r="J13" s="11"/>
      <c r="K13" s="14" t="str">
        <f>IFERROR(IF(ControladorDeProjetos36[[#This Row],[Duração Real (em dias)]]=0,"",IF(ABS((ControladorDeProjetos36[[#This Row],[Duração Real (em dias)]]-ControladorDeProjetos36[[#This Row],[Duração Estimada (em dias)]])/ControladorDeProjetos36[[#This Row],[Duração Estimada (em dias)]])&gt;Sinalizador_Porcentagem,1,0)),"")</f>
        <v/>
      </c>
      <c r="L13" s="12" t="str">
        <f>IF(COUNTA('Prot. TLD - Lot. Vera Cruz'!$I13,'Prot. TLD - Lot. Vera Cruz'!$J13)&lt;&gt;2,"",DAYS360('Prot. TLD - Lot. Vera Cruz'!$I13,'Prot. TLD - Lot. Vera Cruz'!$J13,FALSE))</f>
        <v/>
      </c>
      <c r="M13" s="10"/>
      <c r="N13" s="10"/>
    </row>
    <row r="14" spans="1:14" ht="16.5">
      <c r="A14" s="40"/>
      <c r="B14" s="10"/>
      <c r="C14" s="10"/>
      <c r="D14" s="10"/>
      <c r="E14" s="6"/>
      <c r="F14" s="11"/>
      <c r="G14" s="11"/>
      <c r="H14" s="13"/>
      <c r="I14" s="8"/>
      <c r="J14" s="11"/>
      <c r="K14" s="14" t="str">
        <f>IFERROR(IF(ControladorDeProjetos36[[#This Row],[Duração Real (em dias)]]=0,"",IF(ABS((ControladorDeProjetos36[[#This Row],[Duração Real (em dias)]]-ControladorDeProjetos36[[#This Row],[Duração Estimada (em dias)]])/ControladorDeProjetos36[[#This Row],[Duração Estimada (em dias)]])&gt;Sinalizador_Porcentagem,1,0)),"")</f>
        <v/>
      </c>
      <c r="L14" s="12" t="str">
        <f>IF(COUNTA('Prot. TLD - Lot. Vera Cruz'!$I14,'Prot. TLD - Lot. Vera Cruz'!$J14)&lt;&gt;2,"",DAYS360('Prot. TLD - Lot. Vera Cruz'!$I14,'Prot. TLD - Lot. Vera Cruz'!$J14,FALSE))</f>
        <v/>
      </c>
      <c r="M14" s="10"/>
      <c r="N14" s="10"/>
    </row>
    <row r="15" spans="1:14" ht="16.5">
      <c r="A15" s="41"/>
      <c r="B15" s="5"/>
      <c r="C15" s="5"/>
      <c r="D15" s="5"/>
      <c r="E15" s="5"/>
      <c r="F15" s="11"/>
      <c r="G15" s="11"/>
      <c r="H15" s="13"/>
      <c r="I15" s="8"/>
      <c r="J15" s="11"/>
      <c r="K15" s="14" t="str">
        <f>IFERROR(IF(ControladorDeProjetos36[[#This Row],[Duração Real (em dias)]]=0,"",IF(ABS((ControladorDeProjetos36[[#This Row],[Duração Real (em dias)]]-ControladorDeProjetos36[[#This Row],[Duração Estimada (em dias)]])/ControladorDeProjetos36[[#This Row],[Duração Estimada (em dias)]])&gt;Sinalizador_Porcentagem,1,0)),"")</f>
        <v/>
      </c>
      <c r="L15" s="12" t="str">
        <f>IF(COUNTA('Prot. TLD - Lot. Vera Cruz'!$I15,'Prot. TLD - Lot. Vera Cruz'!$J15)&lt;&gt;2,"",DAYS360('Prot. TLD - Lot. Vera Cruz'!$I15,'Prot. TLD - Lot. Vera Cruz'!$J15,FALSE))</f>
        <v/>
      </c>
      <c r="M15" s="5"/>
      <c r="N15" s="5"/>
    </row>
  </sheetData>
  <mergeCells count="2">
    <mergeCell ref="I1:N3"/>
    <mergeCell ref="A1:E1"/>
  </mergeCells>
  <conditionalFormatting sqref="A5:A9">
    <cfRule type="containsText" dxfId="48" priority="1" operator="containsText" text="ANÁLISE">
      <formula>NOT(ISERROR(SEARCH("ANÁLISE",A5)))</formula>
    </cfRule>
    <cfRule type="containsText" dxfId="47" priority="2" operator="containsText" text="ANÁL">
      <formula>NOT(ISERROR(SEARCH("ANÁL",A5)))</formula>
    </cfRule>
    <cfRule type="containsText" dxfId="46" priority="3" operator="containsText" text="CANC">
      <formula>NOT(ISERROR(SEARCH("CANC",A5)))</formula>
    </cfRule>
    <cfRule type="containsText" dxfId="45" priority="4" operator="containsText" text="APRO">
      <formula>NOT(ISERROR(SEARCH("APRO",A5)))</formula>
    </cfRule>
    <cfRule type="containsText" dxfId="44" priority="5" operator="containsText" text="ANÁL">
      <formula>NOT(ISERROR(SEARCH("ANÁL",A5)))</formula>
    </cfRule>
    <cfRule type="containsText" dxfId="43" priority="6" operator="containsText" text="CANC.">
      <formula>NOT(ISERROR(SEARCH("CANC.",A5)))</formula>
    </cfRule>
    <cfRule type="containsText" dxfId="42" priority="7" operator="containsText" text="APRO.">
      <formula>NOT(ISERROR(SEARCH("APRO.",A5)))</formula>
    </cfRule>
  </conditionalFormatting>
  <conditionalFormatting sqref="L5:L15">
    <cfRule type="expression" dxfId="41" priority="8">
      <formula>(ABS((L5-H5))/H5)&gt;Sinalizador_Porcentagem</formula>
    </cfRule>
  </conditionalFormatting>
  <dataValidations count="15">
    <dataValidation allowBlank="1" showInputMessage="1" showErrorMessage="1" prompt="Porcentagem acima/abaixo personalizáveis usadas para realçar o trabalho real em horas e dias na tabela de projetos que excedam ou fiquem abaixo deste número" sqref="D2" xr:uid="{00000000-0002-0000-0600-000000000000}"/>
    <dataValidation type="list" allowBlank="1" showInputMessage="1" showErrorMessage="1" error="Selecione uma categoria na lista ou crie uma nova categoria para exibir nesta lista da planilha Configuração." sqref="D5:D15" xr:uid="{00000000-0002-0000-0600-000001000000}">
      <formula1>Categoria_Lista</formula1>
    </dataValidation>
    <dataValidation type="list" allowBlank="1" showInputMessage="1" showErrorMessage="1" error="Selecione um funcionário na lista ou crie um novo funcionário para exibir nesta lista da planilha Configuração." sqref="E5:E15" xr:uid="{00000000-0002-0000-0600-000002000000}">
      <formula1>Funcionário_Lista</formula1>
    </dataValidation>
    <dataValidation allowBlank="1" showInputMessage="1" showErrorMessage="1" prompt="Insira os nomes de projetos nesta coluna" sqref="A4:C4" xr:uid="{00000000-0002-0000-0600-000003000000}"/>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00000000-0002-0000-0600-000004000000}"/>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00000000-0002-0000-0600-000005000000}"/>
    <dataValidation allowBlank="1" showInputMessage="1" showErrorMessage="1" prompt="Insira a data de início estimada do projeto nesta coluna" sqref="F4" xr:uid="{00000000-0002-0000-0600-000006000000}"/>
    <dataValidation allowBlank="1" showInputMessage="1" showErrorMessage="1" prompt="Insira a data de término estimada do projeto nesta coluna" sqref="G4" xr:uid="{00000000-0002-0000-0600-000007000000}"/>
    <dataValidation allowBlank="1" showInputMessage="1" showErrorMessage="1" prompt="Insira a duração estimada do projeto em dias nesta coluna" sqref="H4" xr:uid="{00000000-0002-0000-0600-000008000000}"/>
    <dataValidation allowBlank="1" showInputMessage="1" showErrorMessage="1" prompt="Insira a data de início real do projeto nesta coluna" sqref="I4" xr:uid="{00000000-0002-0000-0600-000009000000}"/>
    <dataValidation allowBlank="1" showInputMessage="1" showErrorMessage="1" prompt="Insira a data de término real do projeto nesta coluna" sqref="J4" xr:uid="{00000000-0002-0000-0600-00000A000000}"/>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00000000-0002-0000-0600-00000B000000}"/>
    <dataValidation allowBlank="1" showInputMessage="1" showErrorMessage="1" prompt="Insira a duração real de projeto em dias. Valores que atendem aos critérios Acima/Abaixo são destacados em negrito vermelho e geram um ícone de sinalizador na coluna M à esquerda" sqref="L4" xr:uid="{00000000-0002-0000-0600-00000C000000}"/>
    <dataValidation allowBlank="1" showInputMessage="1" showErrorMessage="1" prompt="Insira anotações para os projetos nesta coluna" sqref="M4:N4" xr:uid="{00000000-0002-0000-0600-00000D000000}"/>
    <dataValidation type="list" allowBlank="1" showInputMessage="1" showErrorMessage="1" sqref="A5:A9" xr:uid="{00000000-0002-0000-0600-00000E000000}">
      <formula1>"APRO, ANÁL, CANC,"</formula1>
    </dataValidation>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0918C8BC-A528-49B2-BB51-83E04CE5F340}">
            <x14:iconSet custom="1">
              <x14:cfvo type="percent">
                <xm:f>0</xm:f>
              </x14:cfvo>
              <x14:cfvo type="num">
                <xm:f>0</xm:f>
              </x14:cfvo>
              <x14:cfvo type="num">
                <xm:f>1</xm:f>
              </x14:cfvo>
              <x14:cfIcon iconSet="NoIcons" iconId="0"/>
              <x14:cfIcon iconSet="NoIcons" iconId="0"/>
              <x14:cfIcon iconSet="3Flags" iconId="0"/>
            </x14:iconSet>
          </x14:cfRule>
          <xm:sqref>K5:K15</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pageSetUpPr autoPageBreaks="0" fitToPage="1"/>
  </sheetPr>
  <dimension ref="A1:N15"/>
  <sheetViews>
    <sheetView showGridLines="0" zoomScale="90" zoomScaleNormal="90" workbookViewId="0">
      <pane ySplit="4" topLeftCell="A5" activePane="bottomLeft" state="frozen"/>
      <selection pane="bottomLeft" activeCell="I22" sqref="I22"/>
    </sheetView>
  </sheetViews>
  <sheetFormatPr defaultColWidth="9" defaultRowHeight="30" customHeight="1"/>
  <cols>
    <col min="1" max="1" width="23.5" style="31" customWidth="1"/>
    <col min="2" max="2" width="23.75" customWidth="1"/>
    <col min="3" max="3" width="20.625" customWidth="1"/>
    <col min="4" max="4" width="16.625" customWidth="1"/>
    <col min="5" max="5" width="13.75" style="1" customWidth="1"/>
    <col min="6" max="6" width="14.375" style="1" customWidth="1"/>
    <col min="7" max="7" width="14.75" customWidth="1"/>
    <col min="8" max="8" width="18" style="34" customWidth="1"/>
    <col min="9" max="9" width="14.875" style="1" customWidth="1"/>
    <col min="10" max="10" width="14.625" style="1" customWidth="1"/>
    <col min="11" max="11" width="13.625" customWidth="1"/>
    <col min="12" max="12" width="28.25" customWidth="1"/>
    <col min="13" max="13" width="24" customWidth="1"/>
    <col min="14" max="14" width="25.625" customWidth="1"/>
    <col min="15" max="15" width="2.625" customWidth="1"/>
  </cols>
  <sheetData>
    <row r="1" spans="1:14" ht="65.099999999999994" customHeight="1">
      <c r="A1" s="131" t="s">
        <v>290</v>
      </c>
      <c r="B1" s="131"/>
      <c r="C1" s="131"/>
      <c r="D1" s="131"/>
      <c r="E1" s="131"/>
      <c r="F1" s="131"/>
      <c r="G1" s="1" t="s">
        <v>219</v>
      </c>
      <c r="H1" s="34" t="s">
        <v>220</v>
      </c>
      <c r="I1" s="130"/>
      <c r="J1" s="130"/>
      <c r="K1" s="130"/>
      <c r="L1" s="130"/>
      <c r="M1" s="130"/>
      <c r="N1" s="130"/>
    </row>
    <row r="2" spans="1:14" ht="20.25" customHeight="1">
      <c r="A2" s="48"/>
      <c r="B2" s="4"/>
      <c r="C2" s="3" t="s">
        <v>26</v>
      </c>
      <c r="D2" s="20"/>
      <c r="I2" s="130"/>
      <c r="J2" s="130"/>
      <c r="K2" s="130"/>
      <c r="L2" s="130"/>
      <c r="M2" s="130"/>
      <c r="N2" s="130"/>
    </row>
    <row r="3" spans="1:14" ht="20.25" customHeight="1">
      <c r="I3" s="130"/>
      <c r="J3" s="130"/>
      <c r="K3" s="130"/>
      <c r="L3" s="130"/>
      <c r="M3" s="130"/>
      <c r="N3" s="130"/>
    </row>
    <row r="4" spans="1:14" ht="54.95" customHeight="1">
      <c r="A4" s="35" t="s">
        <v>126</v>
      </c>
      <c r="B4" s="15" t="s">
        <v>28</v>
      </c>
      <c r="C4" s="15" t="s">
        <v>29</v>
      </c>
      <c r="D4" s="15" t="s">
        <v>1</v>
      </c>
      <c r="E4" s="15" t="s">
        <v>30</v>
      </c>
      <c r="F4" s="16" t="s">
        <v>31</v>
      </c>
      <c r="G4" s="16" t="s">
        <v>32</v>
      </c>
      <c r="H4" s="29" t="s">
        <v>33</v>
      </c>
      <c r="I4" s="18" t="s">
        <v>34</v>
      </c>
      <c r="J4" s="16" t="s">
        <v>35</v>
      </c>
      <c r="K4" s="23" t="s">
        <v>36</v>
      </c>
      <c r="L4" s="19" t="s">
        <v>37</v>
      </c>
      <c r="M4" s="15" t="s">
        <v>38</v>
      </c>
      <c r="N4" s="15" t="s">
        <v>39</v>
      </c>
    </row>
    <row r="5" spans="1:14" ht="33">
      <c r="A5" s="52" t="s">
        <v>63</v>
      </c>
      <c r="B5" s="6" t="s">
        <v>291</v>
      </c>
      <c r="C5" s="6"/>
      <c r="D5" s="6" t="s">
        <v>7</v>
      </c>
      <c r="E5" s="6" t="s">
        <v>292</v>
      </c>
      <c r="F5" s="7">
        <v>45421</v>
      </c>
      <c r="G5" s="7">
        <v>45450</v>
      </c>
      <c r="H5" s="44">
        <f>IF(COUNTA('Prot. TLD - Lot. Ludovico'!$F5,'Prot. TLD - Lot. Ludovico'!$G5)&lt;&gt;2,"",DAYS360('Prot. TLD - Lot. Ludovico'!$F5,'Prot. TLD - Lot. Ludovico'!$G5,FALSE))</f>
        <v>28</v>
      </c>
      <c r="I5" s="8">
        <v>45421</v>
      </c>
      <c r="J5" s="7">
        <v>45453</v>
      </c>
      <c r="K5" s="14">
        <f>IFERROR(IF(ControladorDeProjetos367[[#This Row],[Duração Real (em dias)]]=0,"",IF(ABS((ControladorDeProjetos367[[#This Row],[Duração Real (em dias)]]-ControladorDeProjetos367[[#This Row],[Duração Estimada (em dias)]])/ControladorDeProjetos367[[#This Row],[Duração Estimada (em dias)]])&gt;Sinalizador_Porcentagem,1,0)),"")</f>
        <v>1</v>
      </c>
      <c r="L5" s="9">
        <f>IF(COUNTA('Prot. TLD - Lot. Ludovico'!$I5,'Prot. TLD - Lot. Ludovico'!$J5)&lt;&gt;2,"",DAYS360('Prot. TLD - Lot. Ludovico'!$I5,'Prot. TLD - Lot. Ludovico'!$J5,FALSE))</f>
        <v>31</v>
      </c>
      <c r="M5" s="6"/>
      <c r="N5" s="6" t="s">
        <v>191</v>
      </c>
    </row>
    <row r="6" spans="1:14" ht="33">
      <c r="A6" s="52" t="s">
        <v>63</v>
      </c>
      <c r="B6" s="6" t="s">
        <v>293</v>
      </c>
      <c r="C6" s="6" t="s">
        <v>294</v>
      </c>
      <c r="D6" s="6" t="s">
        <v>7</v>
      </c>
      <c r="E6" s="6" t="s">
        <v>275</v>
      </c>
      <c r="F6" s="7">
        <v>45614</v>
      </c>
      <c r="G6" s="7">
        <v>45629</v>
      </c>
      <c r="H6" s="44">
        <f>IF(COUNTA('Prot. TLD - Lot. Ludovico'!$F6,'Prot. TLD - Lot. Ludovico'!$G6)&lt;&gt;2,"",DAYS360('Prot. TLD - Lot. Ludovico'!$F6,'Prot. TLD - Lot. Ludovico'!$G6,FALSE))</f>
        <v>15</v>
      </c>
      <c r="I6" s="8">
        <v>45614</v>
      </c>
      <c r="J6" s="7">
        <v>45632</v>
      </c>
      <c r="K6" s="14">
        <f>IFERROR(IF(ControladorDeProjetos367[[#This Row],[Duração Real (em dias)]]=0,"",IF(ABS((ControladorDeProjetos367[[#This Row],[Duração Real (em dias)]]-ControladorDeProjetos367[[#This Row],[Duração Estimada (em dias)]])/ControladorDeProjetos367[[#This Row],[Duração Estimada (em dias)]])&gt;Sinalizador_Porcentagem,1,0)),"")</f>
        <v>1</v>
      </c>
      <c r="L6" s="9">
        <f>IF(COUNTA('Prot. TLD - Lot. Ludovico'!$I6,'Prot. TLD - Lot. Ludovico'!$J6)&lt;&gt;2,"",DAYS360('Prot. TLD - Lot. Ludovico'!$I6,'Prot. TLD - Lot. Ludovico'!$J6,FALSE))</f>
        <v>18</v>
      </c>
      <c r="M6" s="6" t="s">
        <v>295</v>
      </c>
      <c r="N6" s="6" t="s">
        <v>296</v>
      </c>
    </row>
    <row r="7" spans="1:14" ht="33">
      <c r="A7" s="52" t="s">
        <v>63</v>
      </c>
      <c r="B7" s="6" t="s">
        <v>297</v>
      </c>
      <c r="C7" s="6"/>
      <c r="D7" s="6" t="s">
        <v>7</v>
      </c>
      <c r="E7" s="6"/>
      <c r="F7" s="7">
        <v>45566</v>
      </c>
      <c r="G7" s="7">
        <v>45580</v>
      </c>
      <c r="H7" s="44">
        <f>IF(COUNTA('Prot. TLD - Lot. Ludovico'!$F7,'Prot. TLD - Lot. Ludovico'!$G7)&lt;&gt;2,"",DAYS360('Prot. TLD - Lot. Ludovico'!$F7,'Prot. TLD - Lot. Ludovico'!$G7,FALSE))</f>
        <v>14</v>
      </c>
      <c r="I7" s="8">
        <v>45566</v>
      </c>
      <c r="J7" s="7">
        <v>45624</v>
      </c>
      <c r="K7" s="14">
        <f>IFERROR(IF(ControladorDeProjetos367[[#This Row],[Duração Real (em dias)]]=0,"",IF(ABS((ControladorDeProjetos367[[#This Row],[Duração Real (em dias)]]-ControladorDeProjetos367[[#This Row],[Duração Estimada (em dias)]])/ControladorDeProjetos367[[#This Row],[Duração Estimada (em dias)]])&gt;Sinalizador_Porcentagem,1,0)),"")</f>
        <v>1</v>
      </c>
      <c r="L7" s="9">
        <f>IF(COUNTA('Prot. TLD - Lot. Ludovico'!$I7,'Prot. TLD - Lot. Ludovico'!$J7)&lt;&gt;2,"",DAYS360('Prot. TLD - Lot. Ludovico'!$I7,'Prot. TLD - Lot. Ludovico'!$J7,FALSE))</f>
        <v>57</v>
      </c>
      <c r="M7" s="6"/>
      <c r="N7" s="6" t="s">
        <v>191</v>
      </c>
    </row>
    <row r="8" spans="1:14" ht="16.5">
      <c r="A8" s="39"/>
      <c r="B8" s="6"/>
      <c r="C8" s="6"/>
      <c r="D8" s="6"/>
      <c r="E8" s="6"/>
      <c r="F8" s="7"/>
      <c r="G8" s="7"/>
      <c r="H8" s="44" t="str">
        <f>IF(COUNTA('Prot. TLD - Lot. Ludovico'!$F8,'Prot. TLD - Lot. Ludovico'!$G8)&lt;&gt;2,"",DAYS360('Prot. TLD - Lot. Ludovico'!$F8,'Prot. TLD - Lot. Ludovico'!$G8,FALSE))</f>
        <v/>
      </c>
      <c r="I8" s="8"/>
      <c r="J8" s="7"/>
      <c r="K8" s="14" t="str">
        <f>IFERROR(IF(ControladorDeProjetos367[[#This Row],[Duração Real (em dias)]]=0,"",IF(ABS((ControladorDeProjetos367[[#This Row],[Duração Real (em dias)]]-ControladorDeProjetos367[[#This Row],[Duração Estimada (em dias)]])/ControladorDeProjetos367[[#This Row],[Duração Estimada (em dias)]])&gt;Sinalizador_Porcentagem,1,0)),"")</f>
        <v/>
      </c>
      <c r="L8" s="9" t="str">
        <f>IF(COUNTA('Prot. TLD - Lot. Ludovico'!$I8,'Prot. TLD - Lot. Ludovico'!$J8)&lt;&gt;2,"",DAYS360('Prot. TLD - Lot. Ludovico'!$I8,'Prot. TLD - Lot. Ludovico'!$J8,FALSE))</f>
        <v/>
      </c>
      <c r="M8" s="6"/>
      <c r="N8" s="6"/>
    </row>
    <row r="9" spans="1:14" ht="16.5">
      <c r="A9" s="39"/>
      <c r="B9" s="6"/>
      <c r="C9" s="6"/>
      <c r="D9" s="6"/>
      <c r="E9" s="6"/>
      <c r="F9" s="7"/>
      <c r="G9" s="7"/>
      <c r="H9" s="44" t="str">
        <f>IF(COUNTA('Prot. TLD - Lot. Ludovico'!$F9,'Prot. TLD - Lot. Ludovico'!$G9)&lt;&gt;2,"",DAYS360('Prot. TLD - Lot. Ludovico'!$F9,'Prot. TLD - Lot. Ludovico'!$G9,FALSE))</f>
        <v/>
      </c>
      <c r="I9" s="8"/>
      <c r="J9" s="7"/>
      <c r="K9" s="14" t="str">
        <f>IFERROR(IF(ControladorDeProjetos367[[#This Row],[Duração Real (em dias)]]=0,"",IF(ABS((ControladorDeProjetos367[[#This Row],[Duração Real (em dias)]]-ControladorDeProjetos367[[#This Row],[Duração Estimada (em dias)]])/ControladorDeProjetos367[[#This Row],[Duração Estimada (em dias)]])&gt;Sinalizador_Porcentagem,1,0)),"")</f>
        <v/>
      </c>
      <c r="L9" s="9" t="str">
        <f>IF(COUNTA('Prot. TLD - Lot. Ludovico'!$I9,'Prot. TLD - Lot. Ludovico'!$J9)&lt;&gt;2,"",DAYS360('Prot. TLD - Lot. Ludovico'!$I9,'Prot. TLD - Lot. Ludovico'!$J9,FALSE))</f>
        <v/>
      </c>
      <c r="M9" s="6"/>
      <c r="N9" s="6"/>
    </row>
    <row r="10" spans="1:14" ht="16.5">
      <c r="A10" s="39"/>
      <c r="B10" s="6"/>
      <c r="C10" s="6"/>
      <c r="D10" s="6"/>
      <c r="E10" s="67"/>
      <c r="F10" s="7"/>
      <c r="G10" s="7"/>
      <c r="H10" s="44" t="str">
        <f>IF(COUNTA('Prot. TLD - Lot. Ludovico'!$F10,'Prot. TLD - Lot. Ludovico'!$G10)&lt;&gt;2,"",DAYS360('Prot. TLD - Lot. Ludovico'!$F10,'Prot. TLD - Lot. Ludovico'!$G10,FALSE))</f>
        <v/>
      </c>
      <c r="I10" s="8"/>
      <c r="J10" s="7"/>
      <c r="K10" s="14" t="str">
        <f>IFERROR(IF(ControladorDeProjetos367[[#This Row],[Duração Real (em dias)]]=0,"",IF(ABS((ControladorDeProjetos367[[#This Row],[Duração Real (em dias)]]-ControladorDeProjetos367[[#This Row],[Duração Estimada (em dias)]])/ControladorDeProjetos367[[#This Row],[Duração Estimada (em dias)]])&gt;Sinalizador_Porcentagem,1,0)),"")</f>
        <v/>
      </c>
      <c r="L10" s="9" t="str">
        <f>IF(COUNTA('Prot. TLD - Lot. Ludovico'!$I10,'Prot. TLD - Lot. Ludovico'!$J10)&lt;&gt;2,"",DAYS360('Prot. TLD - Lot. Ludovico'!$I10,'Prot. TLD - Lot. Ludovico'!$J10,FALSE))</f>
        <v/>
      </c>
      <c r="M10" s="6"/>
      <c r="N10" s="6"/>
    </row>
    <row r="11" spans="1:14" ht="16.5">
      <c r="A11" s="39"/>
      <c r="B11" s="6"/>
      <c r="C11" s="6"/>
      <c r="D11" s="6"/>
      <c r="E11" s="68"/>
      <c r="F11" s="7"/>
      <c r="G11" s="7"/>
      <c r="H11" s="44" t="str">
        <f>IF(COUNTA('Prot. TLD - Lot. Ludovico'!$F11,'Prot. TLD - Lot. Ludovico'!$G11)&lt;&gt;2,"",DAYS360('Prot. TLD - Lot. Ludovico'!$F11,'Prot. TLD - Lot. Ludovico'!$G11,FALSE))</f>
        <v/>
      </c>
      <c r="I11" s="8"/>
      <c r="J11" s="7"/>
      <c r="K11" s="14" t="str">
        <f>IFERROR(IF(ControladorDeProjetos367[[#This Row],[Duração Real (em dias)]]=0,"",IF(ABS((ControladorDeProjetos367[[#This Row],[Duração Real (em dias)]]-ControladorDeProjetos367[[#This Row],[Duração Estimada (em dias)]])/ControladorDeProjetos367[[#This Row],[Duração Estimada (em dias)]])&gt;Sinalizador_Porcentagem,1,0)),"")</f>
        <v/>
      </c>
      <c r="L11" s="9" t="str">
        <f>IF(COUNTA('Prot. TLD - Lot. Ludovico'!$I11,'Prot. TLD - Lot. Ludovico'!$J11)&lt;&gt;2,"",DAYS360('Prot. TLD - Lot. Ludovico'!$I11,'Prot. TLD - Lot. Ludovico'!$J11,FALSE))</f>
        <v/>
      </c>
      <c r="M11" s="26"/>
      <c r="N11" s="6"/>
    </row>
    <row r="12" spans="1:14" ht="16.5">
      <c r="A12" s="39"/>
      <c r="B12" s="6"/>
      <c r="C12" s="6"/>
      <c r="D12" s="6"/>
      <c r="E12" s="6"/>
      <c r="F12" s="7"/>
      <c r="G12" s="7"/>
      <c r="H12" s="44" t="str">
        <f>IF(COUNTA('Prot. TLD - Lot. Ludovico'!$F12,'Prot. TLD - Lot. Ludovico'!$G12)&lt;&gt;2,"",DAYS360('Prot. TLD - Lot. Ludovico'!$F12,'Prot. TLD - Lot. Ludovico'!$G12,FALSE))</f>
        <v/>
      </c>
      <c r="I12" s="8"/>
      <c r="J12" s="7"/>
      <c r="K12" s="14" t="str">
        <f>IFERROR(IF(ControladorDeProjetos367[[#This Row],[Duração Real (em dias)]]=0,"",IF(ABS((ControladorDeProjetos367[[#This Row],[Duração Real (em dias)]]-ControladorDeProjetos367[[#This Row],[Duração Estimada (em dias)]])/ControladorDeProjetos367[[#This Row],[Duração Estimada (em dias)]])&gt;Sinalizador_Porcentagem,1,0)),"")</f>
        <v/>
      </c>
      <c r="L12" s="9" t="str">
        <f>IF(COUNTA('Prot. TLD - Lot. Ludovico'!$I12,'Prot. TLD - Lot. Ludovico'!$J12)&lt;&gt;2,"",DAYS360('Prot. TLD - Lot. Ludovico'!$I12,'Prot. TLD - Lot. Ludovico'!$J12,FALSE))</f>
        <v/>
      </c>
      <c r="M12" s="6"/>
      <c r="N12" s="6"/>
    </row>
    <row r="13" spans="1:14" ht="16.5">
      <c r="A13" s="40"/>
      <c r="B13" s="10"/>
      <c r="C13" s="10"/>
      <c r="D13" s="10"/>
      <c r="E13" s="6"/>
      <c r="F13" s="11"/>
      <c r="G13" s="11"/>
      <c r="H13" s="44" t="str">
        <f>IF(COUNTA('Prot. TLD - Lot. Ludovico'!$F13,'Prot. TLD - Lot. Ludovico'!$G13)&lt;&gt;2,"",DAYS360('Prot. TLD - Lot. Ludovico'!$F13,'Prot. TLD - Lot. Ludovico'!$G13,FALSE))</f>
        <v/>
      </c>
      <c r="I13" s="8"/>
      <c r="J13" s="11"/>
      <c r="K13" s="14" t="str">
        <f>IFERROR(IF(ControladorDeProjetos367[[#This Row],[Duração Real (em dias)]]=0,"",IF(ABS((ControladorDeProjetos367[[#This Row],[Duração Real (em dias)]]-ControladorDeProjetos367[[#This Row],[Duração Estimada (em dias)]])/ControladorDeProjetos367[[#This Row],[Duração Estimada (em dias)]])&gt;Sinalizador_Porcentagem,1,0)),"")</f>
        <v/>
      </c>
      <c r="L13" s="12" t="str">
        <f>IF(COUNTA('Prot. TLD - Lot. Ludovico'!$I13,'Prot. TLD - Lot. Ludovico'!$J13)&lt;&gt;2,"",DAYS360('Prot. TLD - Lot. Ludovico'!$I13,'Prot. TLD - Lot. Ludovico'!$J13,FALSE))</f>
        <v/>
      </c>
      <c r="M13" s="10"/>
      <c r="N13" s="10"/>
    </row>
    <row r="14" spans="1:14" ht="16.5">
      <c r="A14" s="40"/>
      <c r="B14" s="10"/>
      <c r="C14" s="10"/>
      <c r="D14" s="10"/>
      <c r="E14" s="6"/>
      <c r="F14" s="11"/>
      <c r="G14" s="11"/>
      <c r="H14" s="44" t="str">
        <f>IF(COUNTA('Prot. TLD - Lot. Ludovico'!$F14,'Prot. TLD - Lot. Ludovico'!$G14)&lt;&gt;2,"",DAYS360('Prot. TLD - Lot. Ludovico'!$F14,'Prot. TLD - Lot. Ludovico'!$G14,FALSE))</f>
        <v/>
      </c>
      <c r="I14" s="8"/>
      <c r="J14" s="11"/>
      <c r="K14" s="14" t="str">
        <f>IFERROR(IF(ControladorDeProjetos367[[#This Row],[Duração Real (em dias)]]=0,"",IF(ABS((ControladorDeProjetos367[[#This Row],[Duração Real (em dias)]]-ControladorDeProjetos367[[#This Row],[Duração Estimada (em dias)]])/ControladorDeProjetos367[[#This Row],[Duração Estimada (em dias)]])&gt;Sinalizador_Porcentagem,1,0)),"")</f>
        <v/>
      </c>
      <c r="L14" s="12" t="str">
        <f>IF(COUNTA('Prot. TLD - Lot. Ludovico'!$I14,'Prot. TLD - Lot. Ludovico'!$J14)&lt;&gt;2,"",DAYS360('Prot. TLD - Lot. Ludovico'!$I14,'Prot. TLD - Lot. Ludovico'!$J14,FALSE))</f>
        <v/>
      </c>
      <c r="M14" s="10"/>
      <c r="N14" s="10"/>
    </row>
    <row r="15" spans="1:14" ht="16.5">
      <c r="A15" s="41"/>
      <c r="B15" s="5"/>
      <c r="C15" s="5"/>
      <c r="D15" s="5"/>
      <c r="E15" s="5"/>
      <c r="F15" s="11"/>
      <c r="G15" s="11"/>
      <c r="H15" s="44" t="str">
        <f>IF(COUNTA('Prot. TLD - Lot. Ludovico'!$F15,'Prot. TLD - Lot. Ludovico'!$G15)&lt;&gt;2,"",DAYS360('Prot. TLD - Lot. Ludovico'!$F15,'Prot. TLD - Lot. Ludovico'!$G15,FALSE))</f>
        <v/>
      </c>
      <c r="I15" s="8"/>
      <c r="J15" s="11"/>
      <c r="K15" s="14" t="str">
        <f>IFERROR(IF(ControladorDeProjetos367[[#This Row],[Duração Real (em dias)]]=0,"",IF(ABS((ControladorDeProjetos367[[#This Row],[Duração Real (em dias)]]-ControladorDeProjetos367[[#This Row],[Duração Estimada (em dias)]])/ControladorDeProjetos367[[#This Row],[Duração Estimada (em dias)]])&gt;Sinalizador_Porcentagem,1,0)),"")</f>
        <v/>
      </c>
      <c r="L15" s="12" t="str">
        <f>IF(COUNTA('Prot. TLD - Lot. Ludovico'!$I15,'Prot. TLD - Lot. Ludovico'!$J15)&lt;&gt;2,"",DAYS360('Prot. TLD - Lot. Ludovico'!$I15,'Prot. TLD - Lot. Ludovico'!$J15,FALSE))</f>
        <v/>
      </c>
      <c r="M15" s="5"/>
      <c r="N15" s="5"/>
    </row>
  </sheetData>
  <mergeCells count="2">
    <mergeCell ref="I1:N3"/>
    <mergeCell ref="A1:F1"/>
  </mergeCells>
  <conditionalFormatting sqref="A5:A7">
    <cfRule type="containsText" dxfId="34" priority="1" operator="containsText" text="ANÁLISE">
      <formula>NOT(ISERROR(SEARCH("ANÁLISE",A5)))</formula>
    </cfRule>
    <cfRule type="containsText" dxfId="33" priority="2" operator="containsText" text="ANÁL">
      <formula>NOT(ISERROR(SEARCH("ANÁL",A5)))</formula>
    </cfRule>
    <cfRule type="containsText" dxfId="32" priority="3" operator="containsText" text="CANC">
      <formula>NOT(ISERROR(SEARCH("CANC",A5)))</formula>
    </cfRule>
    <cfRule type="containsText" dxfId="31" priority="4" operator="containsText" text="APRO">
      <formula>NOT(ISERROR(SEARCH("APRO",A5)))</formula>
    </cfRule>
    <cfRule type="containsText" dxfId="30" priority="5" operator="containsText" text="ANÁL">
      <formula>NOT(ISERROR(SEARCH("ANÁL",A5)))</formula>
    </cfRule>
    <cfRule type="containsText" dxfId="29" priority="6" operator="containsText" text="CANC.">
      <formula>NOT(ISERROR(SEARCH("CANC.",A5)))</formula>
    </cfRule>
    <cfRule type="containsText" dxfId="28" priority="7" operator="containsText" text="APRO.">
      <formula>NOT(ISERROR(SEARCH("APRO.",A5)))</formula>
    </cfRule>
  </conditionalFormatting>
  <conditionalFormatting sqref="L5:L15">
    <cfRule type="expression" dxfId="27" priority="29">
      <formula>(ABS((L5-H5))/H5)&gt;Sinalizador_Porcentagem</formula>
    </cfRule>
  </conditionalFormatting>
  <dataValidations count="15">
    <dataValidation allowBlank="1" showInputMessage="1" showErrorMessage="1" prompt="Insira anotações para os projetos nesta coluna" sqref="M4:N4" xr:uid="{00000000-0002-0000-0700-000000000000}"/>
    <dataValidation allowBlank="1" showInputMessage="1" showErrorMessage="1" prompt="Insira a duração real de projeto em dias. Valores que atendem aos critérios Acima/Abaixo são destacados em negrito vermelho e geram um ícone de sinalizador na coluna M à esquerda" sqref="L4" xr:uid="{00000000-0002-0000-0700-000001000000}"/>
    <dataValidation allowBlank="1" showInputMessage="1" showErrorMessage="1" prompt="Ícone sinalização título tabela Controlador projeto Duração real acima/abaixo (em dias, Valores na coluna N que atendem o critério acima/abaixo geram ícone de sinalização nas células da coluna. Células em branco indicam valores que não atendem o critério" sqref="K4" xr:uid="{00000000-0002-0000-0700-000002000000}"/>
    <dataValidation allowBlank="1" showInputMessage="1" showErrorMessage="1" prompt="Insira a data de término real do projeto nesta coluna" sqref="J4" xr:uid="{00000000-0002-0000-0700-000003000000}"/>
    <dataValidation allowBlank="1" showInputMessage="1" showErrorMessage="1" prompt="Insira a data de início real do projeto nesta coluna" sqref="I4" xr:uid="{00000000-0002-0000-0700-000004000000}"/>
    <dataValidation allowBlank="1" showInputMessage="1" showErrorMessage="1" prompt="Insira a duração estimada do projeto em dias nesta coluna" sqref="H4" xr:uid="{00000000-0002-0000-0700-000005000000}"/>
    <dataValidation allowBlank="1" showInputMessage="1" showErrorMessage="1" prompt="Insira a data de término estimada do projeto nesta coluna" sqref="G4" xr:uid="{00000000-0002-0000-0700-000006000000}"/>
    <dataValidation allowBlank="1" showInputMessage="1" showErrorMessage="1" prompt="Insira a data de início estimada do projeto nesta coluna" sqref="F4" xr:uid="{00000000-0002-0000-0700-000007000000}"/>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00000000-0002-0000-0700-000008000000}"/>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00000000-0002-0000-0700-000009000000}"/>
    <dataValidation allowBlank="1" showInputMessage="1" showErrorMessage="1" prompt="Insira os nomes de projetos nesta coluna" sqref="A4:C4" xr:uid="{00000000-0002-0000-0700-00000A000000}"/>
    <dataValidation type="list" allowBlank="1" showInputMessage="1" showErrorMessage="1" error="Selecione um funcionário na lista ou crie um novo funcionário para exibir nesta lista da planilha Configuração." sqref="E5:E15" xr:uid="{00000000-0002-0000-0700-00000B000000}">
      <formula1>Funcionário_Lista</formula1>
    </dataValidation>
    <dataValidation type="list" allowBlank="1" showInputMessage="1" showErrorMessage="1" error="Selecione uma categoria na lista ou crie uma nova categoria para exibir nesta lista da planilha Configuração." sqref="D5:D15" xr:uid="{00000000-0002-0000-0700-00000C000000}">
      <formula1>Categoria_Lista</formula1>
    </dataValidation>
    <dataValidation allowBlank="1" showInputMessage="1" showErrorMessage="1" prompt="Porcentagem acima/abaixo personalizáveis usadas para realçar o trabalho real em horas e dias na tabela de projetos que excedam ou fiquem abaixo deste número" sqref="D2" xr:uid="{00000000-0002-0000-0700-00000D000000}"/>
    <dataValidation type="list" allowBlank="1" showInputMessage="1" showErrorMessage="1" sqref="A5:A7" xr:uid="{00000000-0002-0000-0700-00000E000000}">
      <formula1>"APRO, ANÁL, CANC,"</formula1>
    </dataValidation>
  </dataValidations>
  <printOptions horizontalCentered="1"/>
  <pageMargins left="0.25" right="0.25" top="0.5" bottom="0.5" header="0.3" footer="0.3"/>
  <pageSetup paperSize="9" fitToHeight="0" orientation="landscape" r:id="rId1"/>
  <headerFooter differentFirst="1">
    <oddFooter>&amp;CPage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30" id="{03E5EE46-3FFE-49C1-A434-919074E87EDA}">
            <x14:iconSet custom="1">
              <x14:cfvo type="percent">
                <xm:f>0</xm:f>
              </x14:cfvo>
              <x14:cfvo type="num">
                <xm:f>0</xm:f>
              </x14:cfvo>
              <x14:cfvo type="num">
                <xm:f>1</xm:f>
              </x14:cfvo>
              <x14:cfIcon iconSet="NoIcons" iconId="0"/>
              <x14:cfIcon iconSet="NoIcons" iconId="0"/>
              <x14:cfIcon iconSet="3Flags" iconId="0"/>
            </x14:iconSet>
          </x14:cfRule>
          <xm:sqref>K5:K15</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sheetPr>
  <dimension ref="A1:N55"/>
  <sheetViews>
    <sheetView zoomScale="69" zoomScaleNormal="69" workbookViewId="0"/>
  </sheetViews>
  <sheetFormatPr defaultColWidth="9" defaultRowHeight="30" customHeight="1"/>
  <cols>
    <col min="1" max="1" width="9.25" style="31" customWidth="1"/>
    <col min="2" max="2" width="20.25" style="55" customWidth="1"/>
    <col min="3" max="3" width="69.875" style="31" customWidth="1"/>
    <col min="4" max="4" width="20.875" style="31" customWidth="1"/>
    <col min="5" max="5" width="9.875" style="31" customWidth="1"/>
    <col min="6" max="7" width="10.625" style="34" customWidth="1"/>
    <col min="8" max="8" width="12" style="31" customWidth="1"/>
    <col min="9" max="10" width="13.75" style="34" customWidth="1"/>
    <col min="11" max="11" width="13.25" style="31" customWidth="1"/>
    <col min="12" max="12" width="34.5" style="31" customWidth="1"/>
    <col min="13" max="13" width="27.75" style="31" customWidth="1"/>
    <col min="14" max="14" width="25.625" customWidth="1"/>
    <col min="15" max="15" width="2.625" customWidth="1"/>
  </cols>
  <sheetData>
    <row r="1" spans="1:14" ht="65.099999999999994" customHeight="1">
      <c r="B1" s="53" t="s">
        <v>298</v>
      </c>
      <c r="C1" s="48"/>
      <c r="J1" s="130"/>
      <c r="K1" s="130"/>
      <c r="L1" s="130"/>
      <c r="M1" s="130"/>
      <c r="N1" s="130"/>
    </row>
    <row r="2" spans="1:14" ht="20.25" customHeight="1">
      <c r="A2" s="51"/>
      <c r="B2" s="54"/>
      <c r="C2" s="133" t="s">
        <v>26</v>
      </c>
      <c r="D2" s="134"/>
      <c r="E2" s="20"/>
      <c r="J2" s="130"/>
      <c r="K2" s="130"/>
      <c r="L2" s="130"/>
      <c r="M2" s="130"/>
      <c r="N2" s="130"/>
    </row>
    <row r="3" spans="1:14" ht="20.25" customHeight="1">
      <c r="J3" s="130"/>
      <c r="K3" s="130"/>
      <c r="L3" s="130"/>
      <c r="M3" s="130"/>
      <c r="N3" s="130"/>
    </row>
    <row r="4" spans="1:14" ht="54.95" customHeight="1">
      <c r="A4" s="35" t="s">
        <v>27</v>
      </c>
      <c r="B4" s="35" t="s">
        <v>28</v>
      </c>
      <c r="C4" s="35" t="s">
        <v>29</v>
      </c>
      <c r="D4" s="35" t="s">
        <v>1</v>
      </c>
      <c r="E4" s="35" t="s">
        <v>30</v>
      </c>
      <c r="F4" s="36" t="s">
        <v>31</v>
      </c>
      <c r="G4" s="36" t="s">
        <v>32</v>
      </c>
      <c r="H4" s="29" t="s">
        <v>33</v>
      </c>
      <c r="I4" s="37" t="s">
        <v>34</v>
      </c>
      <c r="J4" s="36" t="s">
        <v>35</v>
      </c>
      <c r="K4" s="38" t="s">
        <v>37</v>
      </c>
      <c r="L4" s="35" t="s">
        <v>38</v>
      </c>
      <c r="M4" s="35" t="s">
        <v>39</v>
      </c>
    </row>
    <row r="5" spans="1:14" ht="16.5">
      <c r="A5" s="52" t="s">
        <v>40</v>
      </c>
      <c r="B5" s="26" t="s">
        <v>299</v>
      </c>
      <c r="C5" s="39" t="s">
        <v>300</v>
      </c>
      <c r="D5" s="39" t="s">
        <v>4</v>
      </c>
      <c r="E5" s="39" t="s">
        <v>275</v>
      </c>
      <c r="F5" s="42">
        <v>45303</v>
      </c>
      <c r="G5" s="42">
        <v>45383</v>
      </c>
      <c r="H5" s="44">
        <f>ControladorDeProjetos510[[#This Row],[Estimado 
Término]]-ControladorDeProjetos510[[#This Row],[Estimado
Início]]</f>
        <v>80</v>
      </c>
      <c r="I5" s="45">
        <v>45303</v>
      </c>
      <c r="J5" s="42">
        <v>45349</v>
      </c>
      <c r="K5" s="46">
        <f>ControladorDeProjetos510[[#This Row],[Real
Término]]-ControladorDeProjetos510[[#This Row],[Real 
Início]]</f>
        <v>46</v>
      </c>
      <c r="L5" s="39"/>
      <c r="M5" s="39" t="s">
        <v>289</v>
      </c>
    </row>
    <row r="6" spans="1:14" ht="33">
      <c r="A6" s="52" t="s">
        <v>40</v>
      </c>
      <c r="B6" s="26" t="s">
        <v>301</v>
      </c>
      <c r="C6" s="39" t="s">
        <v>302</v>
      </c>
      <c r="D6" s="39" t="s">
        <v>4</v>
      </c>
      <c r="E6" s="39" t="s">
        <v>275</v>
      </c>
      <c r="F6" s="42">
        <v>45279</v>
      </c>
      <c r="G6" s="42">
        <v>45352</v>
      </c>
      <c r="H6" s="44">
        <f>ControladorDeProjetos510[[#This Row],[Estimado 
Término]]-ControladorDeProjetos510[[#This Row],[Estimado
Início]]</f>
        <v>73</v>
      </c>
      <c r="I6" s="8">
        <v>45280</v>
      </c>
      <c r="J6" s="7">
        <v>45349</v>
      </c>
      <c r="K6" s="46">
        <f>ControladorDeProjetos510[[#This Row],[Real
Término]]-ControladorDeProjetos510[[#This Row],[Real 
Início]]</f>
        <v>69</v>
      </c>
      <c r="L6" s="39" t="s">
        <v>303</v>
      </c>
      <c r="M6" s="39" t="s">
        <v>289</v>
      </c>
    </row>
    <row r="7" spans="1:14" ht="82.5">
      <c r="A7" s="52" t="s">
        <v>40</v>
      </c>
      <c r="B7" s="26" t="s">
        <v>304</v>
      </c>
      <c r="C7" s="39" t="s">
        <v>305</v>
      </c>
      <c r="D7" s="39" t="s">
        <v>4</v>
      </c>
      <c r="E7" s="39" t="s">
        <v>275</v>
      </c>
      <c r="F7" s="42">
        <v>45301</v>
      </c>
      <c r="G7" s="42">
        <v>45332</v>
      </c>
      <c r="H7" s="44">
        <f>ControladorDeProjetos510[[#This Row],[Estimado 
Término]]-ControladorDeProjetos510[[#This Row],[Estimado
Início]]</f>
        <v>31</v>
      </c>
      <c r="I7" s="8">
        <v>45301</v>
      </c>
      <c r="J7" s="7">
        <v>45352</v>
      </c>
      <c r="K7" s="46">
        <f>ControladorDeProjetos510[[#This Row],[Real
Término]]-ControladorDeProjetos510[[#This Row],[Real 
Início]]</f>
        <v>51</v>
      </c>
      <c r="L7" s="39"/>
      <c r="M7" s="39" t="s">
        <v>289</v>
      </c>
    </row>
    <row r="8" spans="1:14" ht="99">
      <c r="A8" s="52" t="s">
        <v>40</v>
      </c>
      <c r="B8" s="26" t="s">
        <v>306</v>
      </c>
      <c r="C8" s="39" t="s">
        <v>307</v>
      </c>
      <c r="D8" s="66" t="s">
        <v>9</v>
      </c>
      <c r="E8" s="39" t="s">
        <v>275</v>
      </c>
      <c r="F8" s="42">
        <v>45351</v>
      </c>
      <c r="G8" s="42">
        <v>45380</v>
      </c>
      <c r="H8" s="44">
        <f>ControladorDeProjetos510[[#This Row],[Estimado 
Término]]-ControladorDeProjetos510[[#This Row],[Estimado
Início]]</f>
        <v>29</v>
      </c>
      <c r="I8" s="8">
        <v>45351</v>
      </c>
      <c r="J8" s="7">
        <v>45352</v>
      </c>
      <c r="K8" s="46">
        <f>ControladorDeProjetos510[[#This Row],[Real
Término]]-ControladorDeProjetos510[[#This Row],[Real 
Início]]</f>
        <v>1</v>
      </c>
      <c r="L8" s="39"/>
      <c r="M8" s="39" t="s">
        <v>286</v>
      </c>
    </row>
    <row r="9" spans="1:14" ht="33">
      <c r="A9" s="52" t="s">
        <v>40</v>
      </c>
      <c r="B9" s="26" t="s">
        <v>308</v>
      </c>
      <c r="C9" s="49" t="s">
        <v>309</v>
      </c>
      <c r="D9" s="66" t="s">
        <v>4</v>
      </c>
      <c r="E9" s="39" t="s">
        <v>275</v>
      </c>
      <c r="F9" s="42">
        <v>45355</v>
      </c>
      <c r="G9" s="42">
        <v>45392</v>
      </c>
      <c r="H9" s="44">
        <f>ControladorDeProjetos510[[#This Row],[Estimado 
Término]]-ControladorDeProjetos510[[#This Row],[Estimado
Início]]</f>
        <v>37</v>
      </c>
      <c r="I9" s="8">
        <v>45355</v>
      </c>
      <c r="J9" s="7"/>
      <c r="K9" s="46">
        <f>ControladorDeProjetos510[[#This Row],[Real
Término]]-ControladorDeProjetos510[[#This Row],[Real 
Início]]</f>
        <v>-45355</v>
      </c>
      <c r="L9" s="39" t="s">
        <v>310</v>
      </c>
      <c r="M9" s="39" t="s">
        <v>311</v>
      </c>
    </row>
    <row r="10" spans="1:14" ht="82.5">
      <c r="A10" s="52" t="s">
        <v>40</v>
      </c>
      <c r="B10" s="26" t="s">
        <v>312</v>
      </c>
      <c r="C10" s="39" t="s">
        <v>313</v>
      </c>
      <c r="D10" s="66" t="s">
        <v>9</v>
      </c>
      <c r="E10" s="39" t="s">
        <v>275</v>
      </c>
      <c r="F10" s="42">
        <v>45392</v>
      </c>
      <c r="G10" s="42">
        <v>45422</v>
      </c>
      <c r="H10" s="44">
        <f>ControladorDeProjetos510[[#This Row],[Estimado 
Término]]-ControladorDeProjetos510[[#This Row],[Estimado
Início]]</f>
        <v>30</v>
      </c>
      <c r="I10" s="8">
        <v>45392</v>
      </c>
      <c r="J10" s="7"/>
      <c r="K10" s="46">
        <f>ControladorDeProjetos510[[#This Row],[Real
Término]]-ControladorDeProjetos510[[#This Row],[Real 
Início]]</f>
        <v>-45392</v>
      </c>
      <c r="L10" s="39" t="s">
        <v>314</v>
      </c>
      <c r="M10" s="39" t="s">
        <v>286</v>
      </c>
    </row>
    <row r="11" spans="1:14" ht="82.5">
      <c r="A11" s="52" t="s">
        <v>40</v>
      </c>
      <c r="B11" s="26" t="s">
        <v>315</v>
      </c>
      <c r="C11" s="39" t="s">
        <v>316</v>
      </c>
      <c r="D11" s="39" t="s">
        <v>4</v>
      </c>
      <c r="E11" s="39" t="s">
        <v>275</v>
      </c>
      <c r="F11" s="42">
        <v>45392</v>
      </c>
      <c r="G11" s="42">
        <v>45422</v>
      </c>
      <c r="H11" s="44">
        <f>ControladorDeProjetos510[[#This Row],[Estimado 
Término]]-ControladorDeProjetos510[[#This Row],[Estimado
Início]]</f>
        <v>30</v>
      </c>
      <c r="I11" s="8">
        <v>45392</v>
      </c>
      <c r="J11" s="7"/>
      <c r="K11" s="47">
        <f>ControladorDeProjetos510[[#This Row],[Real
Término]]-ControladorDeProjetos510[[#This Row],[Real 
Início]]</f>
        <v>-45392</v>
      </c>
      <c r="L11" s="39"/>
      <c r="M11" s="39" t="s">
        <v>289</v>
      </c>
    </row>
    <row r="12" spans="1:14" ht="33">
      <c r="A12" s="52" t="s">
        <v>63</v>
      </c>
      <c r="B12" s="26" t="s">
        <v>317</v>
      </c>
      <c r="C12" s="39" t="s">
        <v>318</v>
      </c>
      <c r="D12" s="39" t="s">
        <v>18</v>
      </c>
      <c r="E12" s="39" t="s">
        <v>275</v>
      </c>
      <c r="F12" s="42">
        <v>45405</v>
      </c>
      <c r="G12" s="42">
        <v>45435</v>
      </c>
      <c r="H12" s="44">
        <f>ControladorDeProjetos510[[#This Row],[Estimado 
Término]]-ControladorDeProjetos510[[#This Row],[Estimado
Início]]</f>
        <v>30</v>
      </c>
      <c r="I12" s="8">
        <v>45405</v>
      </c>
      <c r="J12" s="7"/>
      <c r="K12" s="47">
        <f>ControladorDeProjetos510[[#This Row],[Real
Término]]-ControladorDeProjetos510[[#This Row],[Real 
Início]]</f>
        <v>-45405</v>
      </c>
      <c r="L12" s="39"/>
      <c r="M12" s="39" t="s">
        <v>144</v>
      </c>
    </row>
    <row r="13" spans="1:14" ht="33">
      <c r="A13" s="52" t="s">
        <v>40</v>
      </c>
      <c r="B13" s="57" t="s">
        <v>319</v>
      </c>
      <c r="C13" s="40"/>
      <c r="D13" s="40" t="s">
        <v>4</v>
      </c>
      <c r="E13" s="39" t="s">
        <v>320</v>
      </c>
      <c r="F13" s="43">
        <v>45414</v>
      </c>
      <c r="G13" s="43">
        <v>45445</v>
      </c>
      <c r="H13" s="44">
        <f>ControladorDeProjetos510[[#This Row],[Estimado 
Término]]-ControladorDeProjetos510[[#This Row],[Estimado
Início]]</f>
        <v>31</v>
      </c>
      <c r="I13" s="8">
        <v>45414</v>
      </c>
      <c r="J13" s="11"/>
      <c r="K13" s="47">
        <f>ControladorDeProjetos510[[#This Row],[Real
Término]]-ControladorDeProjetos510[[#This Row],[Real 
Início]]</f>
        <v>-45414</v>
      </c>
      <c r="L13" s="40" t="s">
        <v>321</v>
      </c>
      <c r="M13" s="40" t="s">
        <v>144</v>
      </c>
    </row>
    <row r="14" spans="1:14" ht="33">
      <c r="A14" s="52" t="s">
        <v>40</v>
      </c>
      <c r="B14" s="57" t="s">
        <v>322</v>
      </c>
      <c r="C14" s="40" t="s">
        <v>323</v>
      </c>
      <c r="D14" s="85" t="s">
        <v>4</v>
      </c>
      <c r="E14" s="39" t="s">
        <v>275</v>
      </c>
      <c r="F14" s="43">
        <v>45481</v>
      </c>
      <c r="G14" s="43">
        <v>45502</v>
      </c>
      <c r="H14" s="44">
        <f>ControladorDeProjetos510[[#This Row],[Estimado 
Término]]-ControladorDeProjetos510[[#This Row],[Estimado
Início]]</f>
        <v>21</v>
      </c>
      <c r="I14" s="8">
        <v>45481</v>
      </c>
      <c r="J14" s="11"/>
      <c r="K14" s="47">
        <f>ControladorDeProjetos510[[#This Row],[Real
Término]]-ControladorDeProjetos510[[#This Row],[Real 
Início]]</f>
        <v>-45481</v>
      </c>
      <c r="L14" s="73">
        <v>45502</v>
      </c>
      <c r="M14" s="41" t="s">
        <v>144</v>
      </c>
    </row>
    <row r="15" spans="1:14" ht="82.5">
      <c r="A15" s="52" t="s">
        <v>40</v>
      </c>
      <c r="B15" s="58" t="s">
        <v>324</v>
      </c>
      <c r="C15" s="41" t="s">
        <v>325</v>
      </c>
      <c r="D15" s="76" t="s">
        <v>9</v>
      </c>
      <c r="E15" s="41" t="s">
        <v>275</v>
      </c>
      <c r="F15" s="72">
        <v>20258808646103</v>
      </c>
      <c r="G15" s="43">
        <v>45514</v>
      </c>
      <c r="H15" s="44">
        <f>ControladorDeProjetos510[[#This Row],[Estimado 
Término]]-ControladorDeProjetos510[[#This Row],[Estimado
Início]]</f>
        <v>-20258808600589</v>
      </c>
      <c r="I15" s="8">
        <v>45483</v>
      </c>
      <c r="J15" s="11"/>
      <c r="K15" s="47">
        <f>ControladorDeProjetos510[[#This Row],[Real
Término]]-ControladorDeProjetos510[[#This Row],[Real 
Início]]</f>
        <v>-45483</v>
      </c>
      <c r="L15" s="39" t="s">
        <v>314</v>
      </c>
      <c r="M15" s="39" t="s">
        <v>286</v>
      </c>
    </row>
    <row r="16" spans="1:14" ht="66">
      <c r="A16" s="52" t="s">
        <v>40</v>
      </c>
      <c r="B16" s="58" t="s">
        <v>326</v>
      </c>
      <c r="C16" s="41" t="s">
        <v>327</v>
      </c>
      <c r="D16" s="41" t="s">
        <v>4</v>
      </c>
      <c r="E16" s="41" t="s">
        <v>275</v>
      </c>
      <c r="F16" s="43">
        <v>45483</v>
      </c>
      <c r="G16" s="43">
        <v>45514</v>
      </c>
      <c r="H16" s="44">
        <f>ControladorDeProjetos510[[#This Row],[Estimado 
Término]]-ControladorDeProjetos510[[#This Row],[Estimado
Início]]</f>
        <v>31</v>
      </c>
      <c r="I16" s="8">
        <v>45483</v>
      </c>
      <c r="J16" s="11">
        <v>45532</v>
      </c>
      <c r="K16" s="47">
        <f>ControladorDeProjetos510[[#This Row],[Real
Término]]-ControladorDeProjetos510[[#This Row],[Real 
Início]]</f>
        <v>49</v>
      </c>
      <c r="L16" s="39"/>
      <c r="M16" s="39" t="s">
        <v>289</v>
      </c>
    </row>
    <row r="17" spans="1:13" ht="33">
      <c r="A17" s="52" t="s">
        <v>40</v>
      </c>
      <c r="B17" s="58" t="s">
        <v>328</v>
      </c>
      <c r="C17" s="49" t="s">
        <v>329</v>
      </c>
      <c r="D17" s="41" t="s">
        <v>4</v>
      </c>
      <c r="E17" s="41" t="s">
        <v>275</v>
      </c>
      <c r="F17" s="43">
        <v>45498</v>
      </c>
      <c r="G17" s="43">
        <v>45529</v>
      </c>
      <c r="H17" s="44">
        <f>ControladorDeProjetos510[[#This Row],[Estimado 
Término]]-ControladorDeProjetos510[[#This Row],[Estimado
Início]]</f>
        <v>31</v>
      </c>
      <c r="I17" s="8">
        <v>45498</v>
      </c>
      <c r="J17" s="11">
        <v>45526</v>
      </c>
      <c r="K17" s="47">
        <f>ControladorDeProjetos510[[#This Row],[Real
Término]]-ControladorDeProjetos510[[#This Row],[Real 
Início]]</f>
        <v>28</v>
      </c>
      <c r="L17" s="39"/>
      <c r="M17" s="39" t="s">
        <v>289</v>
      </c>
    </row>
    <row r="18" spans="1:13" ht="33">
      <c r="A18" s="52" t="s">
        <v>40</v>
      </c>
      <c r="B18" s="58" t="s">
        <v>330</v>
      </c>
      <c r="C18" s="41" t="s">
        <v>331</v>
      </c>
      <c r="D18" s="41" t="s">
        <v>4</v>
      </c>
      <c r="E18" s="41" t="s">
        <v>275</v>
      </c>
      <c r="F18" s="43">
        <v>45503</v>
      </c>
      <c r="G18" s="43">
        <v>45534</v>
      </c>
      <c r="H18" s="44">
        <f>ControladorDeProjetos510[[#This Row],[Estimado 
Término]]-ControladorDeProjetos510[[#This Row],[Estimado
Início]]</f>
        <v>31</v>
      </c>
      <c r="I18" s="8">
        <v>45503</v>
      </c>
      <c r="J18" s="11"/>
      <c r="K18" s="47">
        <f>ControladorDeProjetos510[[#This Row],[Real
Término]]-ControladorDeProjetos510[[#This Row],[Real 
Início]]</f>
        <v>-45503</v>
      </c>
      <c r="L18" s="39"/>
      <c r="M18" s="39" t="s">
        <v>289</v>
      </c>
    </row>
    <row r="19" spans="1:13" ht="33">
      <c r="A19" s="52" t="s">
        <v>40</v>
      </c>
      <c r="B19" s="58" t="s">
        <v>332</v>
      </c>
      <c r="C19" s="41" t="s">
        <v>333</v>
      </c>
      <c r="D19" s="41" t="s">
        <v>4</v>
      </c>
      <c r="E19" s="41" t="s">
        <v>275</v>
      </c>
      <c r="F19" s="43">
        <v>45503</v>
      </c>
      <c r="G19" s="43">
        <v>45534</v>
      </c>
      <c r="H19" s="44">
        <f>ControladorDeProjetos510[[#This Row],[Estimado 
Término]]-ControladorDeProjetos510[[#This Row],[Estimado
Início]]</f>
        <v>31</v>
      </c>
      <c r="I19" s="8">
        <v>45503</v>
      </c>
      <c r="J19" s="11"/>
      <c r="K19" s="47">
        <f>ControladorDeProjetos510[[#This Row],[Real
Término]]-ControladorDeProjetos510[[#This Row],[Real 
Início]]</f>
        <v>-45503</v>
      </c>
      <c r="L19" s="39"/>
      <c r="M19" s="39" t="s">
        <v>289</v>
      </c>
    </row>
    <row r="20" spans="1:13" ht="33">
      <c r="A20" s="52" t="s">
        <v>40</v>
      </c>
      <c r="B20" s="58" t="s">
        <v>334</v>
      </c>
      <c r="C20" s="41" t="s">
        <v>335</v>
      </c>
      <c r="D20" s="41" t="s">
        <v>7</v>
      </c>
      <c r="E20" s="41" t="s">
        <v>275</v>
      </c>
      <c r="F20" s="43">
        <v>45511</v>
      </c>
      <c r="G20" s="43">
        <v>45525</v>
      </c>
      <c r="H20" s="44">
        <f>ControladorDeProjetos510[[#This Row],[Estimado 
Término]]-ControladorDeProjetos510[[#This Row],[Estimado
Início]]</f>
        <v>14</v>
      </c>
      <c r="I20" s="8">
        <v>45511</v>
      </c>
      <c r="J20" s="11">
        <v>45531</v>
      </c>
      <c r="K20" s="47">
        <f>ControladorDeProjetos510[[#This Row],[Real
Término]]-ControladorDeProjetos510[[#This Row],[Real 
Início]]</f>
        <v>20</v>
      </c>
      <c r="L20" s="39"/>
      <c r="M20" s="39" t="s">
        <v>289</v>
      </c>
    </row>
    <row r="21" spans="1:13" ht="33">
      <c r="A21" s="52" t="s">
        <v>40</v>
      </c>
      <c r="B21" s="58" t="s">
        <v>336</v>
      </c>
      <c r="C21" s="41" t="s">
        <v>335</v>
      </c>
      <c r="D21" s="41" t="s">
        <v>7</v>
      </c>
      <c r="E21" s="41" t="s">
        <v>275</v>
      </c>
      <c r="F21" s="43">
        <v>45527</v>
      </c>
      <c r="G21" s="43">
        <v>45541</v>
      </c>
      <c r="H21" s="44">
        <f>ControladorDeProjetos510[[#This Row],[Estimado 
Término]]-ControladorDeProjetos510[[#This Row],[Estimado
Início]]</f>
        <v>14</v>
      </c>
      <c r="I21" s="8">
        <v>45527</v>
      </c>
      <c r="J21" s="11">
        <v>45562</v>
      </c>
      <c r="K21" s="47">
        <f>ControladorDeProjetos510[[#This Row],[Real
Término]]-ControladorDeProjetos510[[#This Row],[Real 
Início]]</f>
        <v>35</v>
      </c>
      <c r="L21" s="39"/>
      <c r="M21" s="39" t="s">
        <v>289</v>
      </c>
    </row>
    <row r="22" spans="1:13" ht="33">
      <c r="A22" s="52" t="s">
        <v>40</v>
      </c>
      <c r="B22" s="58" t="s">
        <v>337</v>
      </c>
      <c r="C22" s="41" t="s">
        <v>338</v>
      </c>
      <c r="D22" s="41" t="s">
        <v>7</v>
      </c>
      <c r="E22" s="41" t="s">
        <v>275</v>
      </c>
      <c r="F22" s="43">
        <v>45527</v>
      </c>
      <c r="G22" s="43">
        <v>45541</v>
      </c>
      <c r="H22" s="44">
        <f>ControladorDeProjetos510[[#This Row],[Estimado 
Término]]-ControladorDeProjetos510[[#This Row],[Estimado
Início]]</f>
        <v>14</v>
      </c>
      <c r="I22" s="8">
        <v>45527</v>
      </c>
      <c r="J22" s="11">
        <v>45562</v>
      </c>
      <c r="K22" s="47">
        <f>ControladorDeProjetos510[[#This Row],[Real
Término]]-ControladorDeProjetos510[[#This Row],[Real 
Início]]</f>
        <v>35</v>
      </c>
      <c r="L22" s="39"/>
      <c r="M22" s="39" t="s">
        <v>289</v>
      </c>
    </row>
    <row r="23" spans="1:13" ht="33">
      <c r="A23" s="52" t="s">
        <v>40</v>
      </c>
      <c r="B23" s="58" t="s">
        <v>339</v>
      </c>
      <c r="C23" s="41" t="s">
        <v>340</v>
      </c>
      <c r="D23" s="41" t="s">
        <v>4</v>
      </c>
      <c r="E23" s="41" t="s">
        <v>275</v>
      </c>
      <c r="F23" s="43">
        <v>45544</v>
      </c>
      <c r="G23" s="43">
        <v>45574</v>
      </c>
      <c r="H23" s="44">
        <f>ControladorDeProjetos510[[#This Row],[Estimado 
Término]]-ControladorDeProjetos510[[#This Row],[Estimado
Início]]</f>
        <v>30</v>
      </c>
      <c r="I23" s="8"/>
      <c r="J23" s="11"/>
      <c r="K23" s="47">
        <f>ControladorDeProjetos510[[#This Row],[Real
Término]]-ControladorDeProjetos510[[#This Row],[Real 
Início]]</f>
        <v>0</v>
      </c>
      <c r="L23" s="39"/>
      <c r="M23" s="39" t="s">
        <v>289</v>
      </c>
    </row>
    <row r="24" spans="1:13" ht="33">
      <c r="A24" s="52" t="s">
        <v>40</v>
      </c>
      <c r="B24" s="58" t="s">
        <v>341</v>
      </c>
      <c r="C24" s="41" t="s">
        <v>342</v>
      </c>
      <c r="D24" s="41" t="s">
        <v>7</v>
      </c>
      <c r="E24" s="41" t="s">
        <v>275</v>
      </c>
      <c r="F24" s="43">
        <v>45552</v>
      </c>
      <c r="G24" s="43">
        <v>45566</v>
      </c>
      <c r="H24" s="44">
        <f>ControladorDeProjetos510[[#This Row],[Estimado 
Término]]-ControladorDeProjetos510[[#This Row],[Estimado
Início]]</f>
        <v>14</v>
      </c>
      <c r="I24" s="8">
        <v>45552</v>
      </c>
      <c r="J24" s="11">
        <v>45567</v>
      </c>
      <c r="K24" s="47">
        <f>ControladorDeProjetos510[[#This Row],[Real
Término]]-ControladorDeProjetos510[[#This Row],[Real 
Início]]</f>
        <v>15</v>
      </c>
      <c r="L24" s="39"/>
      <c r="M24" s="39" t="s">
        <v>289</v>
      </c>
    </row>
    <row r="25" spans="1:13" ht="33">
      <c r="A25" s="52" t="s">
        <v>40</v>
      </c>
      <c r="B25" s="58" t="s">
        <v>343</v>
      </c>
      <c r="C25" s="41" t="s">
        <v>344</v>
      </c>
      <c r="D25" s="41" t="s">
        <v>7</v>
      </c>
      <c r="E25" s="41" t="s">
        <v>275</v>
      </c>
      <c r="F25" s="43">
        <v>45552</v>
      </c>
      <c r="G25" s="43">
        <v>45566</v>
      </c>
      <c r="H25" s="44">
        <f>ControladorDeProjetos510[[#This Row],[Estimado 
Término]]-ControladorDeProjetos510[[#This Row],[Estimado
Início]]</f>
        <v>14</v>
      </c>
      <c r="I25" s="8">
        <v>45552</v>
      </c>
      <c r="J25" s="11">
        <v>45567</v>
      </c>
      <c r="K25" s="47">
        <f>ControladorDeProjetos510[[#This Row],[Real
Término]]-ControladorDeProjetos510[[#This Row],[Real 
Início]]</f>
        <v>15</v>
      </c>
      <c r="L25" s="39"/>
      <c r="M25" s="39" t="s">
        <v>289</v>
      </c>
    </row>
    <row r="26" spans="1:13" ht="33">
      <c r="A26" s="52" t="s">
        <v>63</v>
      </c>
      <c r="B26" s="58" t="s">
        <v>345</v>
      </c>
      <c r="C26" s="41" t="s">
        <v>346</v>
      </c>
      <c r="D26" s="41" t="s">
        <v>7</v>
      </c>
      <c r="E26" s="41" t="s">
        <v>275</v>
      </c>
      <c r="F26" s="43">
        <v>45552</v>
      </c>
      <c r="G26" s="43">
        <v>45566</v>
      </c>
      <c r="H26" s="44">
        <f>ControladorDeProjetos510[[#This Row],[Estimado 
Término]]-ControladorDeProjetos510[[#This Row],[Estimado
Início]]</f>
        <v>14</v>
      </c>
      <c r="I26" s="8">
        <v>45552</v>
      </c>
      <c r="J26" s="11">
        <v>45566</v>
      </c>
      <c r="K26" s="47">
        <f>ControladorDeProjetos510[[#This Row],[Real
Término]]-ControladorDeProjetos510[[#This Row],[Real 
Início]]</f>
        <v>14</v>
      </c>
      <c r="L26" s="39"/>
      <c r="M26" s="39" t="s">
        <v>191</v>
      </c>
    </row>
    <row r="27" spans="1:13" ht="33">
      <c r="A27" s="52" t="s">
        <v>63</v>
      </c>
      <c r="B27" s="58" t="s">
        <v>347</v>
      </c>
      <c r="C27" s="41" t="s">
        <v>348</v>
      </c>
      <c r="D27" s="41" t="s">
        <v>7</v>
      </c>
      <c r="E27" s="41" t="s">
        <v>275</v>
      </c>
      <c r="F27" s="43">
        <v>45552</v>
      </c>
      <c r="G27" s="43">
        <v>45566</v>
      </c>
      <c r="H27" s="44">
        <f>ControladorDeProjetos510[[#This Row],[Estimado 
Término]]-ControladorDeProjetos510[[#This Row],[Estimado
Início]]</f>
        <v>14</v>
      </c>
      <c r="I27" s="8">
        <v>45566</v>
      </c>
      <c r="J27" s="11">
        <v>45566</v>
      </c>
      <c r="K27" s="47">
        <f>ControladorDeProjetos510[[#This Row],[Real
Término]]-ControladorDeProjetos510[[#This Row],[Real 
Início]]</f>
        <v>0</v>
      </c>
      <c r="L27" s="39"/>
      <c r="M27" s="39" t="s">
        <v>191</v>
      </c>
    </row>
    <row r="28" spans="1:13" ht="33">
      <c r="A28" s="52" t="s">
        <v>40</v>
      </c>
      <c r="B28" s="58" t="s">
        <v>349</v>
      </c>
      <c r="C28" s="50" t="s">
        <v>350</v>
      </c>
      <c r="D28" s="41" t="s">
        <v>4</v>
      </c>
      <c r="E28" s="41" t="s">
        <v>275</v>
      </c>
      <c r="F28" s="43">
        <v>45567</v>
      </c>
      <c r="G28" s="43">
        <v>45598</v>
      </c>
      <c r="H28" s="44">
        <f>ControladorDeProjetos510[[#This Row],[Estimado 
Término]]-ControladorDeProjetos510[[#This Row],[Estimado
Início]]</f>
        <v>31</v>
      </c>
      <c r="I28" s="8">
        <v>45567</v>
      </c>
      <c r="J28" s="11">
        <v>45575</v>
      </c>
      <c r="K28" s="47">
        <f>ControladorDeProjetos510[[#This Row],[Real
Término]]-ControladorDeProjetos510[[#This Row],[Real 
Início]]</f>
        <v>8</v>
      </c>
      <c r="L28" s="59"/>
      <c r="M28" s="39" t="s">
        <v>289</v>
      </c>
    </row>
    <row r="29" spans="1:13" ht="33">
      <c r="A29" s="52" t="s">
        <v>40</v>
      </c>
      <c r="B29" s="58" t="s">
        <v>351</v>
      </c>
      <c r="C29" s="41" t="s">
        <v>346</v>
      </c>
      <c r="D29" s="41" t="s">
        <v>7</v>
      </c>
      <c r="E29" s="41" t="s">
        <v>275</v>
      </c>
      <c r="F29" s="43">
        <v>45582</v>
      </c>
      <c r="G29" s="43">
        <v>45596</v>
      </c>
      <c r="H29" s="44">
        <f>ControladorDeProjetos510[[#This Row],[Estimado 
Término]]-ControladorDeProjetos510[[#This Row],[Estimado
Início]]</f>
        <v>14</v>
      </c>
      <c r="I29" s="8">
        <v>45583</v>
      </c>
      <c r="J29" s="11">
        <v>45602</v>
      </c>
      <c r="K29" s="47">
        <f>ControladorDeProjetos510[[#This Row],[Real
Término]]-ControladorDeProjetos510[[#This Row],[Real 
Início]]</f>
        <v>19</v>
      </c>
      <c r="L29" s="39"/>
      <c r="M29" s="39" t="s">
        <v>289</v>
      </c>
    </row>
    <row r="30" spans="1:13" ht="33">
      <c r="A30" s="52" t="s">
        <v>40</v>
      </c>
      <c r="B30" s="58" t="s">
        <v>352</v>
      </c>
      <c r="C30" s="41" t="s">
        <v>348</v>
      </c>
      <c r="D30" s="41" t="s">
        <v>7</v>
      </c>
      <c r="E30" s="41" t="s">
        <v>275</v>
      </c>
      <c r="F30" s="43">
        <v>45582</v>
      </c>
      <c r="G30" s="43">
        <v>45596</v>
      </c>
      <c r="H30" s="44">
        <f>ControladorDeProjetos510[[#This Row],[Estimado 
Término]]-ControladorDeProjetos510[[#This Row],[Estimado
Início]]</f>
        <v>14</v>
      </c>
      <c r="I30" s="8">
        <v>45583</v>
      </c>
      <c r="J30" s="11">
        <v>45602</v>
      </c>
      <c r="K30" s="47">
        <f>ControladorDeProjetos510[[#This Row],[Real
Término]]-ControladorDeProjetos510[[#This Row],[Real 
Início]]</f>
        <v>19</v>
      </c>
      <c r="L30" s="39"/>
      <c r="M30" s="39" t="s">
        <v>289</v>
      </c>
    </row>
    <row r="31" spans="1:13" ht="16.5">
      <c r="B31" s="58"/>
      <c r="C31" s="41"/>
      <c r="D31" s="41"/>
      <c r="E31" s="41"/>
      <c r="F31" s="43"/>
      <c r="G31" s="43"/>
      <c r="H31" s="44"/>
      <c r="I31" s="8"/>
      <c r="J31" s="11"/>
      <c r="K31" s="47"/>
      <c r="L31" s="39"/>
      <c r="M31" s="39"/>
    </row>
    <row r="32" spans="1:13" ht="16.5">
      <c r="B32" s="58"/>
      <c r="C32" s="41"/>
      <c r="D32" s="41"/>
      <c r="E32" s="41"/>
      <c r="F32" s="43"/>
      <c r="G32" s="43"/>
      <c r="H32" s="44"/>
      <c r="I32" s="8"/>
      <c r="J32" s="11"/>
      <c r="K32" s="47"/>
      <c r="L32" s="39"/>
      <c r="M32" s="39"/>
    </row>
    <row r="33" spans="2:13" ht="16.5">
      <c r="B33" s="58"/>
      <c r="C33" s="41"/>
      <c r="D33" s="41"/>
      <c r="E33" s="41"/>
      <c r="F33" s="43"/>
      <c r="G33" s="43"/>
      <c r="H33" s="44"/>
      <c r="I33" s="8"/>
      <c r="J33" s="11"/>
      <c r="K33" s="47"/>
      <c r="L33" s="39"/>
      <c r="M33" s="39"/>
    </row>
    <row r="34" spans="2:13" ht="16.5">
      <c r="B34" s="58"/>
      <c r="C34" s="41"/>
      <c r="D34" s="41"/>
      <c r="E34" s="41"/>
      <c r="F34" s="43"/>
      <c r="G34" s="43"/>
      <c r="H34" s="44"/>
      <c r="I34" s="8"/>
      <c r="J34" s="11"/>
      <c r="K34" s="47"/>
      <c r="L34" s="39"/>
      <c r="M34" s="39"/>
    </row>
    <row r="35" spans="2:13" ht="16.5">
      <c r="B35" s="58"/>
      <c r="C35" s="41"/>
      <c r="D35" s="41"/>
      <c r="E35" s="41"/>
      <c r="F35" s="43"/>
      <c r="G35" s="43"/>
      <c r="H35" s="44"/>
      <c r="I35" s="8"/>
      <c r="J35" s="11"/>
      <c r="K35" s="47"/>
      <c r="L35" s="41"/>
      <c r="M35" s="41"/>
    </row>
    <row r="36" spans="2:13" ht="16.5">
      <c r="B36" s="58"/>
      <c r="C36" s="41"/>
      <c r="D36" s="41"/>
      <c r="E36" s="41"/>
      <c r="F36" s="43"/>
      <c r="G36" s="43"/>
      <c r="H36" s="44"/>
      <c r="I36" s="8"/>
      <c r="J36" s="11"/>
      <c r="K36" s="47"/>
      <c r="L36" s="41"/>
      <c r="M36" s="41"/>
    </row>
    <row r="37" spans="2:13" ht="16.5">
      <c r="B37" s="58"/>
      <c r="C37" s="41"/>
      <c r="D37" s="41"/>
      <c r="E37" s="41"/>
      <c r="F37" s="43"/>
      <c r="G37" s="43"/>
      <c r="H37" s="44"/>
      <c r="I37" s="8"/>
      <c r="J37" s="11"/>
      <c r="K37" s="47"/>
      <c r="L37" s="41"/>
      <c r="M37" s="41"/>
    </row>
    <row r="38" spans="2:13" ht="16.5">
      <c r="B38" s="58"/>
      <c r="C38" s="41"/>
      <c r="D38" s="41"/>
      <c r="E38" s="41"/>
      <c r="F38" s="43"/>
      <c r="G38" s="43"/>
      <c r="H38" s="44"/>
      <c r="I38" s="45"/>
      <c r="J38" s="43"/>
      <c r="K38" s="47"/>
      <c r="L38" s="41"/>
      <c r="M38" s="41"/>
    </row>
    <row r="39" spans="2:13" ht="16.5">
      <c r="B39" s="58"/>
      <c r="C39" s="41"/>
      <c r="D39" s="41"/>
      <c r="E39" s="41"/>
      <c r="F39" s="43"/>
      <c r="G39" s="43"/>
      <c r="H39" s="44"/>
      <c r="I39" s="45"/>
      <c r="J39" s="43"/>
      <c r="K39" s="47"/>
      <c r="L39" s="41"/>
      <c r="M39" s="41"/>
    </row>
    <row r="40" spans="2:13" ht="16.5">
      <c r="B40" s="58"/>
      <c r="C40" s="41"/>
      <c r="D40" s="41"/>
      <c r="E40" s="41"/>
      <c r="F40" s="43"/>
      <c r="G40" s="43"/>
      <c r="H40" s="44"/>
      <c r="I40" s="45"/>
      <c r="J40" s="43"/>
      <c r="K40" s="47"/>
      <c r="L40" s="41"/>
      <c r="M40" s="41"/>
    </row>
    <row r="41" spans="2:13" ht="16.5">
      <c r="B41" s="58"/>
      <c r="C41" s="41"/>
      <c r="D41" s="41"/>
      <c r="E41" s="41"/>
      <c r="F41" s="43"/>
      <c r="G41" s="43"/>
      <c r="H41" s="44"/>
      <c r="I41" s="45"/>
      <c r="J41" s="43"/>
      <c r="K41" s="47"/>
      <c r="L41" s="41"/>
      <c r="M41" s="41"/>
    </row>
    <row r="42" spans="2:13" ht="16.5">
      <c r="B42" s="58"/>
      <c r="C42" s="41"/>
      <c r="D42" s="41"/>
      <c r="E42" s="41"/>
      <c r="F42" s="43"/>
      <c r="G42" s="43"/>
      <c r="H42" s="44"/>
      <c r="I42" s="45"/>
      <c r="J42" s="43"/>
      <c r="K42" s="47"/>
      <c r="L42" s="41"/>
      <c r="M42" s="41"/>
    </row>
    <row r="43" spans="2:13" ht="16.5">
      <c r="B43" s="58"/>
      <c r="C43" s="41"/>
      <c r="D43" s="41"/>
      <c r="E43" s="41"/>
      <c r="F43" s="43"/>
      <c r="G43" s="43"/>
      <c r="H43" s="44"/>
      <c r="I43" s="45"/>
      <c r="J43" s="43"/>
      <c r="K43" s="47"/>
      <c r="L43" s="41"/>
      <c r="M43" s="41"/>
    </row>
    <row r="44" spans="2:13" ht="16.5">
      <c r="B44" s="58"/>
      <c r="C44" s="41"/>
      <c r="D44" s="41"/>
      <c r="E44" s="41"/>
      <c r="F44" s="43"/>
      <c r="G44" s="43"/>
      <c r="H44" s="44"/>
      <c r="I44" s="45"/>
      <c r="J44" s="43"/>
      <c r="K44" s="47"/>
      <c r="L44" s="41"/>
      <c r="M44" s="41"/>
    </row>
    <row r="45" spans="2:13" ht="16.5">
      <c r="B45" s="58"/>
      <c r="C45" s="41"/>
      <c r="D45" s="41"/>
      <c r="E45" s="41"/>
      <c r="F45" s="43"/>
      <c r="G45" s="43"/>
      <c r="H45" s="44"/>
      <c r="I45" s="45"/>
      <c r="J45" s="43"/>
      <c r="K45" s="47"/>
      <c r="L45" s="41"/>
      <c r="M45" s="41"/>
    </row>
    <row r="46" spans="2:13" ht="16.5">
      <c r="B46" s="58"/>
      <c r="C46" s="41"/>
      <c r="D46" s="41"/>
      <c r="E46" s="41"/>
      <c r="F46" s="43"/>
      <c r="G46" s="43"/>
      <c r="H46" s="44"/>
      <c r="I46" s="45"/>
      <c r="J46" s="43"/>
      <c r="K46" s="47"/>
      <c r="L46" s="41"/>
      <c r="M46" s="41"/>
    </row>
    <row r="47" spans="2:13" ht="16.5">
      <c r="B47" s="58"/>
      <c r="C47" s="41"/>
      <c r="D47" s="41"/>
      <c r="E47" s="41"/>
      <c r="F47" s="43"/>
      <c r="G47" s="43"/>
      <c r="H47" s="44"/>
      <c r="I47" s="45"/>
      <c r="J47" s="43"/>
      <c r="K47" s="47"/>
      <c r="L47" s="41"/>
      <c r="M47" s="41"/>
    </row>
    <row r="48" spans="2:13" ht="16.5">
      <c r="B48" s="58"/>
      <c r="C48" s="41"/>
      <c r="D48" s="41"/>
      <c r="E48" s="41"/>
      <c r="F48" s="43"/>
      <c r="G48" s="43"/>
      <c r="H48" s="44"/>
      <c r="I48" s="45"/>
      <c r="J48" s="43"/>
      <c r="K48" s="47"/>
      <c r="L48" s="41"/>
      <c r="M48" s="41"/>
    </row>
    <row r="49" spans="2:13" ht="16.5">
      <c r="B49" s="58"/>
      <c r="C49" s="41"/>
      <c r="D49" s="41"/>
      <c r="E49" s="41"/>
      <c r="F49" s="43"/>
      <c r="G49" s="43"/>
      <c r="H49" s="44"/>
      <c r="I49" s="45"/>
      <c r="J49" s="43"/>
      <c r="K49" s="47"/>
      <c r="L49" s="41"/>
      <c r="M49" s="41"/>
    </row>
    <row r="50" spans="2:13" ht="16.5">
      <c r="B50" s="58"/>
      <c r="C50" s="41"/>
      <c r="D50" s="41"/>
      <c r="E50" s="41"/>
      <c r="F50" s="43"/>
      <c r="G50" s="43"/>
      <c r="H50" s="44"/>
      <c r="I50" s="45"/>
      <c r="J50" s="43"/>
      <c r="K50" s="47"/>
      <c r="L50" s="41"/>
      <c r="M50" s="41"/>
    </row>
    <row r="51" spans="2:13" ht="16.5">
      <c r="B51" s="58"/>
      <c r="C51" s="41"/>
      <c r="D51" s="41"/>
      <c r="E51" s="41"/>
      <c r="F51" s="43"/>
      <c r="G51" s="43"/>
      <c r="H51" s="44"/>
      <c r="I51" s="45"/>
      <c r="J51" s="43"/>
      <c r="K51" s="47"/>
      <c r="L51" s="41"/>
      <c r="M51" s="41"/>
    </row>
    <row r="52" spans="2:13" ht="16.5">
      <c r="B52" s="58"/>
      <c r="C52" s="41"/>
      <c r="D52" s="41"/>
      <c r="E52" s="41"/>
      <c r="F52" s="43"/>
      <c r="G52" s="43"/>
      <c r="H52" s="44"/>
      <c r="I52" s="45"/>
      <c r="J52" s="43"/>
      <c r="K52" s="47"/>
      <c r="L52" s="41"/>
      <c r="M52" s="41"/>
    </row>
    <row r="53" spans="2:13" ht="16.5">
      <c r="B53" s="58"/>
      <c r="C53" s="41"/>
      <c r="D53" s="41"/>
      <c r="E53" s="41"/>
      <c r="F53" s="43"/>
      <c r="G53" s="43"/>
      <c r="H53" s="44"/>
      <c r="I53" s="45"/>
      <c r="J53" s="43"/>
      <c r="K53" s="47"/>
      <c r="L53" s="41"/>
      <c r="M53" s="41"/>
    </row>
    <row r="54" spans="2:13" ht="16.5">
      <c r="B54" s="58"/>
      <c r="C54" s="41"/>
      <c r="D54" s="41"/>
      <c r="E54" s="41"/>
      <c r="F54" s="43"/>
      <c r="G54" s="43"/>
      <c r="H54" s="44"/>
      <c r="I54" s="45"/>
      <c r="J54" s="43"/>
      <c r="K54" s="47"/>
      <c r="L54" s="41"/>
      <c r="M54" s="41"/>
    </row>
    <row r="55" spans="2:13" ht="16.5">
      <c r="B55" s="58"/>
      <c r="C55" s="41"/>
      <c r="D55" s="41"/>
      <c r="E55" s="41"/>
      <c r="F55" s="43"/>
      <c r="G55" s="43"/>
      <c r="H55" s="44"/>
      <c r="I55" s="45"/>
      <c r="J55" s="43"/>
      <c r="K55" s="47"/>
      <c r="L55" s="41"/>
      <c r="M55" s="41"/>
    </row>
  </sheetData>
  <mergeCells count="2">
    <mergeCell ref="J1:N3"/>
    <mergeCell ref="C2:D2"/>
  </mergeCells>
  <conditionalFormatting sqref="A5:A30">
    <cfRule type="containsText" dxfId="20" priority="1" operator="containsText" text="ANÁL">
      <formula>NOT(ISERROR(SEARCH("ANÁL",A5)))</formula>
    </cfRule>
    <cfRule type="containsText" dxfId="19" priority="2" operator="containsText" text="CANC">
      <formula>NOT(ISERROR(SEARCH("CANC",A5)))</formula>
    </cfRule>
    <cfRule type="containsText" dxfId="18" priority="3" operator="containsText" text="APRO">
      <formula>NOT(ISERROR(SEARCH("APRO",A5)))</formula>
    </cfRule>
    <cfRule type="containsText" dxfId="17" priority="4" operator="containsText" text="ANÁL">
      <formula>NOT(ISERROR(SEARCH("ANÁL",A5)))</formula>
    </cfRule>
    <cfRule type="containsText" dxfId="16" priority="5" operator="containsText" text="CANC.">
      <formula>NOT(ISERROR(SEARCH("CANC.",A5)))</formula>
    </cfRule>
    <cfRule type="containsText" dxfId="15" priority="6" operator="containsText" text="APRO.">
      <formula>NOT(ISERROR(SEARCH("APRO.",A5)))</formula>
    </cfRule>
  </conditionalFormatting>
  <conditionalFormatting sqref="K5:K55">
    <cfRule type="expression" dxfId="14" priority="7">
      <formula>(ABS((K5-H5))/H5)&gt;Sinalizador_Porcentagem</formula>
    </cfRule>
  </conditionalFormatting>
  <dataValidations count="15">
    <dataValidation type="list" allowBlank="1" showInputMessage="1" showErrorMessage="1" sqref="A5:A30" xr:uid="{00000000-0002-0000-0400-000000000000}">
      <formula1>"APRO, ANÁL, CANC,"</formula1>
    </dataValidation>
    <dataValidation type="list" allowBlank="1" showInputMessage="1" showErrorMessage="1" error="Selecione uma categoria na lista ou crie uma nova categoria para exibir nesta lista da planilha Configuração." sqref="D5:D55" xr:uid="{00000000-0002-0000-0400-000001000000}">
      <formula1>Categoria_Lista</formula1>
    </dataValidation>
    <dataValidation type="list" allowBlank="1" showInputMessage="1" showErrorMessage="1" error="Selecione um funcionário na lista ou crie um novo funcionário para exibir nesta lista da planilha Configuração." sqref="E5:E55" xr:uid="{00000000-0002-0000-0400-000002000000}">
      <formula1>Funcionário_Lista</formula1>
    </dataValidation>
    <dataValidation allowBlank="1" showInputMessage="1" prompt="Insira projetos nesta planilha do controle de projetos. Defina a % acima/abaixo para sinalizar em D2. O trabalho real em horas e a duração real em dias destacarão valores acima/abaixo com negrito, fonte vermelha e um ícone de bandeira nas colunas K e M " sqref="A1" xr:uid="{00000000-0002-0000-0400-000003000000}"/>
    <dataValidation allowBlank="1" showInputMessage="1" showErrorMessage="1" prompt="Porcentagem acima/abaixo personalizáveis usadas para realçar o trabalho real em horas e dias na tabela de projetos que excedam ou fiquem abaixo deste número" sqref="E2" xr:uid="{00000000-0002-0000-0400-000004000000}"/>
    <dataValidation allowBlank="1" showInputMessage="1" showErrorMessage="1" prompt="Insira os nomes de projetos nesta coluna" sqref="A4:C4" xr:uid="{00000000-0002-0000-0400-000005000000}"/>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D4" xr:uid="{00000000-0002-0000-0400-000006000000}"/>
    <dataValidation allowBlank="1" showInputMessage="1" showErrorMessage="1" prompt="Selecione o Nome do funcionário na lista suspensa em cada célula nessa coluna. As opções são definidas na planilha Configuração. Pressione Alt+seta para baixo para navegar pela lista, depois, ENTER para fazer uma seleção" sqref="E4" xr:uid="{00000000-0002-0000-0400-000007000000}"/>
    <dataValidation allowBlank="1" showInputMessage="1" showErrorMessage="1" prompt="Insira a data de início estimada do projeto nesta coluna" sqref="F4" xr:uid="{00000000-0002-0000-0400-000008000000}"/>
    <dataValidation allowBlank="1" showInputMessage="1" showErrorMessage="1" prompt="Insira a data de término estimada do projeto nesta coluna" sqref="G4" xr:uid="{00000000-0002-0000-0400-000009000000}"/>
    <dataValidation allowBlank="1" showInputMessage="1" showErrorMessage="1" prompt="Insira a duração estimada do projeto em dias nesta coluna" sqref="H4" xr:uid="{00000000-0002-0000-0400-00000A000000}"/>
    <dataValidation allowBlank="1" showInputMessage="1" showErrorMessage="1" prompt="Insira a data de início real do projeto nesta coluna" sqref="I4" xr:uid="{00000000-0002-0000-0400-00000B000000}"/>
    <dataValidation allowBlank="1" showInputMessage="1" showErrorMessage="1" prompt="Insira a data de término real do projeto nesta coluna" sqref="J4" xr:uid="{00000000-0002-0000-0400-00000C000000}"/>
    <dataValidation allowBlank="1" showInputMessage="1" showErrorMessage="1" prompt="Insira a duração real de projeto em dias. Valores que atendem aos critérios Acima/Abaixo são destacados em negrito vermelho e geram um ícone de sinalizador na coluna M à esquerda" sqref="K4" xr:uid="{00000000-0002-0000-0400-00000D000000}"/>
    <dataValidation allowBlank="1" showInputMessage="1" showErrorMessage="1" prompt="Insira anotações para os projetos nesta coluna" sqref="L4:M4" xr:uid="{00000000-0002-0000-0400-00000E000000}"/>
  </dataValidations>
  <pageMargins left="0.511811024" right="0.511811024" top="0.78740157499999996" bottom="0.78740157499999996" header="0.31496062000000002" footer="0.31496062000000002"/>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4F2D9E-04B8-47E6-ADBD-BCDAEFD96754}"/>
</file>

<file path=docProps/app.xml><?xml version="1.0" encoding="utf-8"?>
<Properties xmlns="http://schemas.openxmlformats.org/officeDocument/2006/extended-properties" xmlns:vt="http://schemas.openxmlformats.org/officeDocument/2006/docPropsVTypes">
  <Template>TM02930041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 Prati</dc:creator>
  <cp:keywords/>
  <dc:description/>
  <cp:lastModifiedBy>João Fantinel</cp:lastModifiedBy>
  <cp:revision/>
  <dcterms:created xsi:type="dcterms:W3CDTF">2016-08-03T05:15:41Z</dcterms:created>
  <dcterms:modified xsi:type="dcterms:W3CDTF">2026-05-18T21:03:05Z</dcterms:modified>
  <cp:category/>
  <cp:contentStatus/>
</cp:coreProperties>
</file>